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26.xml" ContentType="application/vnd.openxmlformats-officedocument.drawingml.chart+xml"/>
  <Override PartName="/xl/charts/chart14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Tableau de bord" sheetId="2" state="visible" r:id="rId4"/>
    <sheet name="Graphique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<sst xmlns="http://schemas.openxmlformats.org/spreadsheetml/2006/main" count="345" uniqueCount="160">
  <si>
    <t xml:space="preserve">SUIVI MENSUEL DES INDICATEURS — 5 ANS</t>
  </si>
  <si>
    <t xml:space="preserve">Indicateur</t>
  </si>
  <si>
    <t xml:space="preserve">Unité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</si>
  <si>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</si>
  <si>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</si>
  <si>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</si>
  <si>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</si>
  <si>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</si>
  <si>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</si>
  <si>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</si>
  <si>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</si>
  <si>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</si>
  <si>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</si>
  <si>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</si>
  <si>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</si>
  <si>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</si>
  <si>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</si>
  <si>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</si>
  <si>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</si>
  <si>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</si>
  <si>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MARCHÉS BOURSIERS</t>
  </si>
  <si>
    <t xml:space="preserve">CAC 40</t>
  </si>
  <si>
    <t xml:space="preserve">points</t>
  </si>
  <si>
    <t xml:space="preserve">Euro Stoxx 50</t>
  </si>
  <si>
    <t xml:space="preserve">Nasdaq Composite</t>
  </si>
  <si>
    <t xml:space="preserve">Dow Jones</t>
  </si>
  <si>
    <t xml:space="preserve">VIX — Volatilité</t>
  </si>
  <si>
    <t xml:space="preserve">index</t>
  </si>
  <si>
    <t xml:space="preserve">EUR / USD</t>
  </si>
  <si>
    <t xml:space="preserve">taux</t>
  </si>
  <si>
    <t xml:space="preserve">OAT 10 ans</t>
  </si>
  <si>
    <t xml:space="preserve">%</t>
  </si>
  <si>
    <t xml:space="preserve">Brent (USD/baril)</t>
  </si>
  <si>
    <t xml:space="preserve">USD</t>
  </si>
  <si>
    <t xml:space="preserve">INDICATEURS ÉCONOMIQUES</t>
  </si>
  <si>
    <t xml:space="preserve">SMIC horaire brut</t>
  </si>
  <si>
    <t xml:space="preserve">€</t>
  </si>
  <si>
    <t xml:space="preserve">Taux directeur BCE</t>
  </si>
  <si>
    <t xml:space="preserve">Inflation France (IPC)</t>
  </si>
  <si>
    <t xml:space="preserve">Chômage France (BIT)</t>
  </si>
  <si>
    <t xml:space="preserve">Pass Navigo mensuel</t>
  </si>
  <si>
    <t xml:space="preserve">Baguette — prix moyen</t>
  </si>
  <si>
    <t xml:space="preserve">Déficit public / PIB</t>
  </si>
  <si>
    <t xml:space="preserve">% PIB</t>
  </si>
  <si>
    <t xml:space="preserve">Confiance ménages INSEE</t>
  </si>
  <si>
    <t xml:space="preserve">IMMOBILIER</t>
  </si>
  <si>
    <t xml:space="preserve">ICC — Coût Construction</t>
  </si>
  <si>
    <t xml:space="preserve">ILC — Loyers Commerciaux</t>
  </si>
  <si>
    <t xml:space="preserve">ILAT — Act. Tertiaires</t>
  </si>
  <si>
    <t xml:space="preserve">IRL — Réf. des Loyers</t>
  </si>
  <si>
    <t xml:space="preserve">Taux crédit immo moyen</t>
  </si>
  <si>
    <t xml:space="preserve">Transactions (12 mois)</t>
  </si>
  <si>
    <t xml:space="preserve">milliers</t>
  </si>
  <si>
    <t xml:space="preserve">Texte bleu = cellule de saisie. Saisir en début de mois la valeur du mois précédent. Indices trimestriels (ICC, ILC, ILAT, IRL) : reporter la dernière valeur publiée sur les 3 mois du trimestre.</t>
  </si>
  <si>
    <t xml:space="preserve">ÉNERGIE</t>
  </si>
  <si>
    <t xml:space="preserve">SMIC mensuel brut</t>
  </si>
  <si>
    <t xml:space="preserve">€/mois</t>
  </si>
  <si>
    <t xml:space="preserve">Tarif EDF réglementé (Base 6kVA)</t>
  </si>
  <si>
    <t xml:space="preserve">€/kWh</t>
  </si>
  <si>
    <t xml:space="preserve">Gaz naturel — prix réf. CRE</t>
  </si>
  <si>
    <t xml:space="preserve">€/MWh</t>
  </si>
  <si>
    <t xml:space="preserve">Taux Livret A</t>
  </si>
  <si>
    <t xml:space="preserve">Légende couleurs : VERT PÂLE = donnée vérifiée source officielle  |  JAUNE PÂLE = estimation issue de données publiques  |  VIOLET PÂLE = donnée trimestrielle répétée sur 3 mois  |  BLEU PÂLE = formule liée à un autre indicateur</t>
  </si>
  <si>
    <t xml:space="preserve">TABLEAU DE BORD — DERNIÈRES VALEURS &amp; ÉVOLUTIONS</t>
  </si>
  <si>
    <t xml:space="preserve">Calculé automatiquement depuis la feuille Données. Valeurs issues de la dernière cellule renseignée de chaque indicateur.</t>
  </si>
  <si>
    <t xml:space="preserve">Dernière valeur</t>
  </si>
  <si>
    <t xml:space="preserve">vs mois préc.</t>
  </si>
  <si>
    <t xml:space="preserve">vs 6 mois</t>
  </si>
  <si>
    <t xml:space="preserve">vs 1 an</t>
  </si>
  <si>
    <t xml:space="preserve">vs 2 ans</t>
  </si>
  <si>
    <t xml:space="preserve">Source</t>
  </si>
  <si>
    <t xml:space="preserve">Yahoo Finance</t>
  </si>
  <si>
    <t xml:space="preserve">CBOE</t>
  </si>
  <si>
    <t xml:space="preserve">Banque de France</t>
  </si>
  <si>
    <t xml:space="preserve">ICE / Bloomberg</t>
  </si>
  <si>
    <t xml:space="preserve">Min. Travail</t>
  </si>
  <si>
    <t xml:space="preserve">BCE</t>
  </si>
  <si>
    <t xml:space="preserve">INSEE</t>
  </si>
  <si>
    <t xml:space="preserve">IDF Mobilités</t>
  </si>
  <si>
    <t xml:space="preserve">Fédération Boulangers</t>
  </si>
  <si>
    <t xml:space="preserve">INSEE / Eurostat</t>
  </si>
  <si>
    <t xml:space="preserve">Notaires de France</t>
  </si>
  <si>
    <t xml:space="preserve">Calculé</t>
  </si>
  <si>
    <t xml:space="preserve">Tarif EDF réglementé</t>
  </si>
  <si>
    <t xml:space="preserve">CRE / EDF</t>
  </si>
  <si>
    <t xml:space="preserve">CRE</t>
  </si>
  <si>
    <t xml:space="preserve">GRAPHIQUES — ÉVOLUTION PAR INDICATEUR</t>
  </si>
  <si>
    <t xml:space="preserve">Chaque graphique affiche les 60 derniers mois (5 ans). Pour zoomer sur 1 an, 6 mois ou 1 mois : sélectionnez le graphique et utilisez les poignées de l'axe horizontal.</t>
  </si>
  <si>
    <t xml:space="preserve">Période affichée :</t>
  </si>
  <si>
    <t xml:space="preserve">5 ans (60 mois)</t>
  </si>
  <si>
    <t xml:space="preserve">2 ans (24 mois)</t>
  </si>
  <si>
    <t xml:space="preserve">1 an (12 mois)</t>
  </si>
  <si>
    <t xml:space="preserve">6 mois</t>
  </si>
  <si>
    <t xml:space="preserve">1 mois</t>
  </si>
  <si>
    <t xml:space="preserve">SOURCES ET INSTRUCTIONS DE SAISIE</t>
  </si>
  <si>
    <t xml:space="preserve">Où trouver</t>
  </si>
  <si>
    <t xml:space="preserve">Quand saisir</t>
  </si>
  <si>
    <t xml:space="preserve">Note de lecture</t>
  </si>
  <si>
    <t xml:space="preserve">Lien</t>
  </si>
  <si>
    <t xml:space="preserve">Yahoo Finance / Google Finance</t>
  </si>
  <si>
    <t xml:space="preserve">1er du mois</t>
  </si>
  <si>
    <t xml:space="preserve">Cours de clôture dernier jour ouvré du mois précédent</t>
  </si>
  <si>
    <t xml:space="preserve">Idem — cours de clôture</t>
  </si>
  <si>
    <t xml:space="preserve">VIX</t>
  </si>
  <si>
    <t xml:space="preserve">Yahoo Finance / CBOE</t>
  </si>
  <si>
    <t xml:space="preserve">&lt;15 calme, 15-25 incertitude, &gt;30 peur</t>
  </si>
  <si>
    <t xml:space="preserve">Cours de clôture dernier jour ouvré</t>
  </si>
  <si>
    <t xml:space="preserve">Banque de France Webstat</t>
  </si>
  <si>
    <t xml:space="preserve">Taux souverain fr. 10 ans — corrélé aux taux crédit immo</t>
  </si>
  <si>
    <t xml:space="preserve">Brent</t>
  </si>
  <si>
    <t xml:space="preserve">Yahoo Finance (BZ=F)</t>
  </si>
  <si>
    <t xml:space="preserve">Contrat futur ICE, en USD</t>
  </si>
  <si>
    <t xml:space="preserve">ÉCONOMIQUE</t>
  </si>
  <si>
    <t xml:space="preserve">service-public.fr</t>
  </si>
  <si>
    <t xml:space="preserve">À chaque revalorisation</t>
  </si>
  <si>
    <t xml:space="preserve">Revalorisations habituellement au 1er janvier et 1er mai</t>
  </si>
  <si>
    <t xml:space="preserve">Site BCE</t>
  </si>
  <si>
    <t xml:space="preserve">À chaque décision (~6 sem.)</t>
  </si>
  <si>
    <t xml:space="preserve">Taux de dépôt. Reporter la valeur sur tous les mois sans changement</t>
  </si>
  <si>
    <t xml:space="preserve">Inflation (IPC)</t>
  </si>
  <si>
    <t xml:space="preserve">INSEE — série 001759970</t>
  </si>
  <si>
    <t xml:space="preserve">Mensuel (publication J+20)</t>
  </si>
  <si>
    <t xml:space="preserve">Glissement annuel en %</t>
  </si>
  <si>
    <t xml:space="preserve">Chômage France</t>
  </si>
  <si>
    <t xml:space="preserve">INSEE — série 001688526</t>
  </si>
  <si>
    <t xml:space="preserve">Trimestriel</t>
  </si>
  <si>
    <t xml:space="preserve">Taux BIT France métrop. Reporter sur les 3 mois du trimestre</t>
  </si>
  <si>
    <t xml:space="preserve">Pass Navigo</t>
  </si>
  <si>
    <t xml:space="preserve">Annuel (janvier)</t>
  </si>
  <si>
    <t xml:space="preserve">Tarif toutes zones. Augmentation début janvier</t>
  </si>
  <si>
    <t xml:space="preserve">Baguette</t>
  </si>
  <si>
    <t xml:space="preserve">Fédération des Boulangers / presse</t>
  </si>
  <si>
    <t xml:space="preserve">Annuel (approx.)</t>
  </si>
  <si>
    <t xml:space="preserve">Prix moyen constaté — pas de prix réglementé national</t>
  </si>
  <si>
    <t xml:space="preserve">Déficit public/PIB</t>
  </si>
  <si>
    <t xml:space="preserve">Annuel (mars-avril N+1)</t>
  </si>
  <si>
    <t xml:space="preserve">Notification Eurostat publiée en mars/avril de l'année suivante</t>
  </si>
  <si>
    <t xml:space="preserve">Confiance ménages</t>
  </si>
  <si>
    <t xml:space="preserve">INSEE — série 001605612</t>
  </si>
  <si>
    <t xml:space="preserve">Mensuel (fin de mois)</t>
  </si>
  <si>
    <t xml:space="preserve">Index synthétique. Base 100 = moyenne long terme. &lt;100 = pessimisme</t>
  </si>
  <si>
    <t xml:space="preserve">ICC</t>
  </si>
  <si>
    <t xml:space="preserve">INSEE — série 000868550</t>
  </si>
  <si>
    <t xml:space="preserve">Trimestriel +3 mois</t>
  </si>
  <si>
    <t xml:space="preserve">Reporter la même valeur sur les 3 mois du trimestre</t>
  </si>
  <si>
    <t xml:space="preserve">ILC</t>
  </si>
  <si>
    <t xml:space="preserve">INSEE — série 001515769</t>
  </si>
  <si>
    <t xml:space="preserve">Base 100 = T1 2008. Plafonne les révisions loyers commerciaux</t>
  </si>
  <si>
    <t xml:space="preserve">ILAT</t>
  </si>
  <si>
    <t xml:space="preserve">INSEE — série 001515770</t>
  </si>
  <si>
    <t xml:space="preserve">Base 100 = T1 2010. Loyers activités tertiaires</t>
  </si>
  <si>
    <t xml:space="preserve">IRL</t>
  </si>
  <si>
    <t xml:space="preserve">INSEE — série 001515766</t>
  </si>
  <si>
    <t xml:space="preserve">Base 100 = T4 2005. Plafonne les révisions loyers résidentiels</t>
  </si>
  <si>
    <t xml:space="preserve">Taux crédit immo</t>
  </si>
  <si>
    <t xml:space="preserve">Banque de France Webstat ou Meilleurtaux</t>
  </si>
  <si>
    <t xml:space="preserve">Mensuel</t>
  </si>
  <si>
    <t xml:space="preserve">Taux moyen toutes durées nouveaux contrats</t>
  </si>
  <si>
    <t xml:space="preserve">Transactions logements</t>
  </si>
  <si>
    <t xml:space="preserve">Cumul 12 mois glissants en milliers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</si>
</sst>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0"/>
    <numFmt numFmtId="167" formatCode="0.0"/>
    <numFmt numFmtId="168" formatCode="0.00"/>
    <numFmt numFmtId="169" formatCode="\+0.00;\-0.00;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E2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E29"/>
      <name val="Arial"/>
      <family val="0"/>
      <charset val="1"/>
    </font>
    <font>
      <sz val="10"/>
      <color rgb="FF1A1E29"/>
      <name val="Arial"/>
      <family val="0"/>
      <charset val="1"/>
    </font>
    <font>
      <b val="true"/>
      <sz val="8"/>
      <color rgb="FF1A1E29"/>
      <name val="Arial"/>
      <family val="0"/>
      <charset val="1"/>
    </font>
    <font>
      <sz val="8"/>
      <color rgb="FF7A809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7A8099"/>
      <name val="Arial"/>
      <family val="0"/>
      <charset val="1"/>
    </font>
    <font>
      <sz val="10"/>
      <color rgb="FF5B8CF5"/>
      <name val="Arial"/>
      <family val="0"/>
      <charset val="1"/>
    </font>
    <font>
      <i val="true"/>
      <sz val="9"/>
      <color rgb="FF7A8099"/>
      <name val="Arial"/>
      <family val="0"/>
      <charset val="1"/>
    </font>
    <font>
      <sz val="9"/>
      <color rgb="FF7A8099"/>
      <name val="Arial"/>
      <family val="0"/>
      <charset val="1"/>
    </font>
    <font>
      <u val="single"/>
      <sz val="9"/>
      <color rgb="FF5B8CF5"/>
      <name val="Arial"/>
      <family val="0"/>
      <charset val="1"/>
    </font>
    <font>
      <b val="true"/>
      <sz val="9"/>
      <color rgb="FF1A1E2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A1E2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8A96E"/>
        <bgColor rgb="FFD29F9E"/>
      </patternFill>
    </fill>
    <fill>
      <patternFill patternType="solid">
        <fgColor rgb="FF1A1E29"/>
        <bgColor rgb="FF000000"/>
      </patternFill>
    </fill>
    <fill>
      <patternFill patternType="solid">
        <fgColor rgb="FFF5F3FC"/>
        <bgColor rgb="FFEEF4FF"/>
      </patternFill>
    </fill>
    <fill>
      <patternFill patternType="solid">
        <fgColor rgb="FFF9F9FC"/>
        <bgColor rgb="FFF8F9FC"/>
      </patternFill>
    </fill>
    <fill>
      <patternFill patternType="mediumGray">
        <fgColor rgb="FFF8F9FC"/>
        <bgColor rgb="FFF5F3FC"/>
      </patternFill>
    </fill>
    <fill>
      <patternFill patternType="mediumGray">
        <fgColor rgb="FFFFFFFF"/>
        <bgColor rgb="FFF9F9FC"/>
      </patternFill>
    </fill>
    <fill>
      <patternFill patternType="solid">
        <fgColor rgb="FFFFFFFF"/>
        <bgColor rgb="FFF9F9FC"/>
      </patternFill>
    </fill>
    <fill>
      <patternFill patternType="solid">
        <fgColor rgb="FFF8F9FC"/>
        <bgColor rgb="FFF9F9FC"/>
      </patternFill>
    </fill>
    <fill>
      <patternFill patternType="solid">
        <fgColor rgb="FFEEF4FF"/>
        <bgColor rgb="FFF5F3FC"/>
      </patternFill>
    </fill>
    <fill>
      <patternFill patternType="solid">
        <fgColor rgb="FFF0FAF5"/>
        <bgColor rgb="FFF8F9FC"/>
      </patternFill>
    </fill>
    <fill>
      <patternFill patternType="solid">
        <fgColor rgb="FFF9F9FC"/>
        <bgColor rgb="FFF8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E1EA"/>
      </left>
      <right/>
      <top style="thin">
        <color rgb="FFDDE1EA"/>
      </top>
      <bottom style="thin">
        <color rgb="FFDDE1EA"/>
      </bottom>
      <diagonal/>
    </border>
    <border diagonalUp="false" diagonalDown="false">
      <left style="thin">
        <color rgb="FFDDE1EA"/>
      </left>
      <right style="thin">
        <color rgb="FFDDE1EA"/>
      </right>
      <top style="thin">
        <color rgb="FFDDE1EA"/>
      </top>
      <bottom style="thin">
        <color rgb="FFDD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7B35"/>
      <rgbColor rgb="FFBDCFA2"/>
      <rgbColor rgb="FF0000FF"/>
      <rgbColor rgb="FFF6D5C5"/>
      <rgbColor rgb="FFCB8483"/>
      <rgbColor rgb="FFC5DBE3"/>
      <rgbColor rgb="FFBD7131"/>
      <rgbColor rgb="FF86A24A"/>
      <rgbColor rgb="FFDDE1EA"/>
      <rgbColor rgb="FF6F873B"/>
      <rgbColor rgb="FFB84845"/>
      <rgbColor rgb="FF317C8F"/>
      <rgbColor rgb="FFC1B9CE"/>
      <rgbColor rgb="FF7F7B9E"/>
      <rgbColor rgb="FF8DAECE"/>
      <rgbColor rgb="FFA03F3D"/>
      <rgbColor rgb="FFF0FAF5"/>
      <rgbColor rgb="FFEEF4FF"/>
      <rgbColor rgb="FFDAB3B3"/>
      <rgbColor rgb="FFF59A5B"/>
      <rgbColor rgb="FF3B6597"/>
      <rgbColor rgb="FFC6D0E0"/>
      <rgbColor rgb="FFF8F9FC"/>
      <rgbColor rgb="FFD29F9E"/>
      <rgbColor rgb="FFCAD8B5"/>
      <rgbColor rgb="FFAFC689"/>
      <rgbColor rgb="FFC56361"/>
      <rgbColor rgb="FFC8A96E"/>
      <rgbColor rgb="FF5F8AEA"/>
      <rgbColor rgb="FFD9D9D9"/>
      <rgbColor rgb="FFB3D1DD"/>
      <rgbColor rgb="FFF5F3FC"/>
      <rgbColor rgb="FFD6E0C7"/>
      <rgbColor rgb="FFF9F9FC"/>
      <rgbColor rgb="FFA9C5D8"/>
      <rgbColor rgb="FFF5AB81"/>
      <rgbColor rgb="FFB2AABE"/>
      <rgbColor rgb="FFF6C7B1"/>
      <rgbColor rgb="FF4676B0"/>
      <rgbColor rgb="FF51ABBE"/>
      <rgbColor rgb="FF9AB85E"/>
      <rgbColor rgb="FFF5B99C"/>
      <rgbColor rgb="FFEE8D3E"/>
      <rgbColor rgb="FFE08439"/>
      <rgbColor rgb="FF715790"/>
      <rgbColor rgb="FF8D8992"/>
      <rgbColor rgb="FFCFCAD8"/>
      <rgbColor rgb="FF3C94AD"/>
      <rgbColor rgb="FFE1C6C6"/>
      <rgbColor rgb="FFA9642B"/>
      <rgbColor rgb="FF8B3533"/>
      <rgbColor rgb="FFAE4441"/>
      <rgbColor rgb="FF5B4674"/>
      <rgbColor rgb="FF1A1E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CAC 40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"CAC 40"</c:f>
              <c:strCache>
                <c:ptCount val="1"/>
                <c:pt idx="0">
                  <c:v>CAC 40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Données!$C$5</c:f>
              <c:numCache>
                <c:formatCode>General</c:formatCode>
                <c:ptCount val="1"/>
                <c:pt idx="0">
                  <c:v>6862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Données!$D$5</c:f>
              <c:numCache>
                <c:formatCode>General</c:formatCode>
                <c:ptCount val="1"/>
                <c:pt idx="0">
                  <c:v>6659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Données!$E$5</c:f>
              <c:numCache>
                <c:formatCode>General</c:formatCode>
                <c:ptCount val="1"/>
                <c:pt idx="0">
                  <c:v>6685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Données!$F$5</c:f>
              <c:numCache>
                <c:formatCode>General</c:formatCode>
                <c:ptCount val="1"/>
                <c:pt idx="0">
                  <c:v>6361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Données!$G$5</c:f>
              <c:numCache>
                <c:formatCode>General</c:formatCode>
                <c:ptCount val="1"/>
                <c:pt idx="0">
                  <c:v>6362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Données!$H$5</c:f>
              <c:numCache>
                <c:formatCode>General</c:formatCode>
                <c:ptCount val="1"/>
                <c:pt idx="0">
                  <c:v>5922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Données!$I$5</c:f>
              <c:numCache>
                <c:formatCode>General</c:formatCode>
                <c:ptCount val="1"/>
                <c:pt idx="0">
                  <c:v>6411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Données!$J$5</c:f>
              <c:numCache>
                <c:formatCode>General</c:formatCode>
                <c:ptCount val="1"/>
                <c:pt idx="0">
                  <c:v>6192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Données!$K$5</c:f>
              <c:numCache>
                <c:formatCode>General</c:formatCode>
                <c:ptCount val="1"/>
                <c:pt idx="0">
                  <c:v>5765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Données!$L$5</c:f>
              <c:numCache>
                <c:formatCode>General</c:formatCode>
                <c:ptCount val="1"/>
                <c:pt idx="0">
                  <c:v>6268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Données!$M$5</c:f>
              <c:numCache>
                <c:formatCode>General</c:formatCode>
                <c:ptCount val="1"/>
                <c:pt idx="0">
                  <c:v>6684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Données!$N$5</c:f>
              <c:numCache>
                <c:formatCode>General</c:formatCode>
                <c:ptCount val="1"/>
                <c:pt idx="0">
                  <c:v>6474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Données!$O$5</c:f>
              <c:numCache>
                <c:formatCode>General</c:formatCode>
                <c:ptCount val="1"/>
                <c:pt idx="0">
                  <c:v>7088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Données!$P$5</c:f>
              <c:numCache>
                <c:formatCode>General</c:formatCode>
                <c:ptCount val="1"/>
                <c:pt idx="0">
                  <c:v>7270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Données!$Q$5</c:f>
              <c:numCache>
                <c:formatCode>General</c:formatCode>
                <c:ptCount val="1"/>
                <c:pt idx="0">
                  <c:v>7322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Données!$R$5</c:f>
              <c:numCache>
                <c:formatCode>General</c:formatCode>
                <c:ptCount val="1"/>
                <c:pt idx="0">
                  <c:v>7491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Données!$S$5</c:f>
              <c:numCache>
                <c:formatCode>General</c:formatCode>
                <c:ptCount val="1"/>
                <c:pt idx="0">
                  <c:v>7323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Données!$T$5</c:f>
              <c:numCache>
                <c:formatCode>General</c:formatCode>
                <c:ptCount val="1"/>
                <c:pt idx="0">
                  <c:v>7400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Données!$U$5</c:f>
              <c:numCache>
                <c:formatCode>General</c:formatCode>
                <c:ptCount val="1"/>
                <c:pt idx="0">
                  <c:v>7476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Données!$V$5</c:f>
              <c:numCache>
                <c:formatCode>General</c:formatCode>
                <c:ptCount val="1"/>
                <c:pt idx="0">
                  <c:v>7309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Données!$W$5</c:f>
              <c:numCache>
                <c:formatCode>General</c:formatCode>
                <c:ptCount val="1"/>
                <c:pt idx="0">
                  <c:v>7135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Données!$X$5</c:f>
              <c:numCache>
                <c:formatCode>General</c:formatCode>
                <c:ptCount val="1"/>
                <c:pt idx="0">
                  <c:v>6885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Données!$Y$5</c:f>
              <c:numCache>
                <c:formatCode>General</c:formatCode>
                <c:ptCount val="1"/>
                <c:pt idx="0">
                  <c:v>7250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Données!$Z$5</c:f>
              <c:numCache>
                <c:formatCode>General</c:formatCode>
                <c:ptCount val="1"/>
                <c:pt idx="0">
                  <c:v>7543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Données!$AA$5</c:f>
              <c:numCache>
                <c:formatCode>General</c:formatCode>
                <c:ptCount val="1"/>
                <c:pt idx="0">
                  <c:v>7618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Données!$AB$5</c:f>
              <c:numCache>
                <c:formatCode>General</c:formatCode>
                <c:ptCount val="1"/>
                <c:pt idx="0">
                  <c:v>7932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Données!$AC$5</c:f>
              <c:numCache>
                <c:formatCode>General</c:formatCode>
                <c:ptCount val="1"/>
                <c:pt idx="0">
                  <c:v>8206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Données!$AD$5</c:f>
              <c:numCache>
                <c:formatCode>General</c:formatCode>
                <c:ptCount val="1"/>
                <c:pt idx="0">
                  <c:v>8023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Données!$AE$5</c:f>
              <c:numCache>
                <c:formatCode>General</c:formatCode>
                <c:ptCount val="1"/>
                <c:pt idx="0">
                  <c:v>8094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Données!$AF$5</c:f>
              <c:numCache>
                <c:formatCode>General</c:formatCode>
                <c:ptCount val="1"/>
                <c:pt idx="0">
                  <c:v>7558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Données!$AG$5</c:f>
              <c:numCache>
                <c:formatCode>General</c:formatCode>
                <c:ptCount val="1"/>
                <c:pt idx="0">
                  <c:v>7688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Données!$AH$5</c:f>
              <c:numCache>
                <c:formatCode>General</c:formatCode>
                <c:ptCount val="1"/>
                <c:pt idx="0">
                  <c:v>7646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Données!$AI$5</c:f>
              <c:numCache>
                <c:formatCode>General</c:formatCode>
                <c:ptCount val="1"/>
                <c:pt idx="0">
                  <c:v>7635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Données!$AJ$5</c:f>
              <c:numCache>
                <c:formatCode>General</c:formatCode>
                <c:ptCount val="1"/>
                <c:pt idx="0">
                  <c:v>7350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Données!$AK$5</c:f>
              <c:numCache>
                <c:formatCode>General</c:formatCode>
                <c:ptCount val="1"/>
                <c:pt idx="0">
                  <c:v>7235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Données!$AL$5</c:f>
              <c:numCache>
                <c:formatCode>General</c:formatCode>
                <c:ptCount val="1"/>
                <c:pt idx="0">
                  <c:v>7380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Données!$AM$5</c:f>
              <c:numCache>
                <c:formatCode>General</c:formatCode>
                <c:ptCount val="1"/>
                <c:pt idx="0">
                  <c:v>7988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Données!$AN$5</c:f>
              <c:numCache>
                <c:formatCode>General</c:formatCode>
                <c:ptCount val="1"/>
                <c:pt idx="0">
                  <c:v>8118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Données!$AO$5</c:f>
              <c:numCache>
                <c:formatCode>General</c:formatCode>
                <c:ptCount val="1"/>
                <c:pt idx="0">
                  <c:v>7936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Données!$AP$5</c:f>
              <c:numCache>
                <c:formatCode>General</c:formatCode>
                <c:ptCount val="1"/>
                <c:pt idx="0">
                  <c:v>7507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Données!$AQ$5</c:f>
              <c:numCache>
                <c:formatCode>General</c:formatCode>
                <c:ptCount val="1"/>
                <c:pt idx="0">
                  <c:v>7953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Données!$AR$5</c:f>
              <c:numCache>
                <c:formatCode>General</c:formatCode>
                <c:ptCount val="1"/>
                <c:pt idx="0">
                  <c:v>7814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Données!$AS$5</c:f>
              <c:numCache>
                <c:formatCode>General</c:formatCode>
                <c:ptCount val="1"/>
                <c:pt idx="0">
                  <c:v>7780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Données!$AT$5</c:f>
              <c:numCache>
                <c:formatCode>General</c:formatCode>
                <c:ptCount val="1"/>
                <c:pt idx="0">
                  <c:v>7550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Données!$AU$5</c:f>
              <c:numCache>
                <c:formatCode>General</c:formatCode>
                <c:ptCount val="1"/>
                <c:pt idx="0">
                  <c:v>7600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Données!$AV$5</c:f>
              <c:numCache>
                <c:formatCode>General</c:formatCode>
                <c:ptCount val="1"/>
                <c:pt idx="0">
                  <c:v>7490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Données!$AW$5</c:f>
              <c:numCache>
                <c:formatCode>General</c:formatCode>
                <c:ptCount val="1"/>
                <c:pt idx="0">
                  <c:v>7350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Données!$AX$5</c:f>
              <c:numCache>
                <c:formatCode>General</c:formatCode>
                <c:ptCount val="1"/>
                <c:pt idx="0">
                  <c:v>7260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Données!$AY$5</c:f>
              <c:numCache>
                <c:formatCode>General</c:formatCode>
                <c:ptCount val="1"/>
                <c:pt idx="0">
                  <c:v>8130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Données!$AZ$5</c:f>
              <c:numCache>
                <c:formatCode>General</c:formatCode>
                <c:ptCount val="1"/>
                <c:pt idx="0">
                  <c:v>8207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Données!$BA$5</c:f>
              <c:numCache>
                <c:formatCode>General</c:formatCode>
                <c:ptCount val="1"/>
                <c:pt idx="0">
                  <c:v>7901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Données!$BB$5</c:f>
              <c:numCache>
                <c:formatCode>General</c:formatCode>
                <c:ptCount val="1"/>
                <c:pt idx="0">
                  <c:v>8114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Données!$BC$5</c:f>
              <c:numCache>
                <c:formatCode>General</c:formatCode>
                <c:ptCount val="1"/>
                <c:pt idx="0">
                  <c:v>8116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Données!$BJ$5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11194"/>
        <c:axId val="29060019"/>
      </c:lineChart>
      <c:catAx>
        <c:axId val="189111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60019"/>
        <c:crosses val="autoZero"/>
        <c:auto val="1"/>
        <c:lblAlgn val="ctr"/>
        <c:lblOffset val="100"/>
        <c:noMultiLvlLbl val="0"/>
      </c:catAx>
      <c:valAx>
        <c:axId val="29060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11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Euro Stoxx 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"Euro Stoxx 50"</c:f>
              <c:strCache>
                <c:ptCount val="1"/>
                <c:pt idx="0">
                  <c:v>Euro Stoxx 50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Données!$C$6</c:f>
              <c:numCache>
                <c:formatCode>General</c:formatCode>
                <c:ptCount val="1"/>
                <c:pt idx="0">
                  <c:v>4173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Données!$D$6</c:f>
              <c:numCache>
                <c:formatCode>General</c:formatCode>
                <c:ptCount val="1"/>
                <c:pt idx="0">
                  <c:v>4062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Données!$E$6</c:f>
              <c:numCache>
                <c:formatCode>General</c:formatCode>
                <c:ptCount val="1"/>
                <c:pt idx="0">
                  <c:v>3901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Données!$F$6</c:f>
              <c:numCache>
                <c:formatCode>General</c:formatCode>
                <c:ptCount val="1"/>
                <c:pt idx="0">
                  <c:v>3756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Données!$G$6</c:f>
              <c:numCache>
                <c:formatCode>General</c:formatCode>
                <c:ptCount val="1"/>
                <c:pt idx="0">
                  <c:v>3723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Données!$H$6</c:f>
              <c:numCache>
                <c:formatCode>General</c:formatCode>
                <c:ptCount val="1"/>
                <c:pt idx="0">
                  <c:v>3454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Données!$I$6</c:f>
              <c:numCache>
                <c:formatCode>General</c:formatCode>
                <c:ptCount val="1"/>
                <c:pt idx="0">
                  <c:v>3612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Données!$J$6</c:f>
              <c:numCache>
                <c:formatCode>General</c:formatCode>
                <c:ptCount val="1"/>
                <c:pt idx="0">
                  <c:v>3506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Données!$K$6</c:f>
              <c:numCache>
                <c:formatCode>General</c:formatCode>
                <c:ptCount val="1"/>
                <c:pt idx="0">
                  <c:v>3252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Données!$L$6</c:f>
              <c:numCache>
                <c:formatCode>General</c:formatCode>
                <c:ptCount val="1"/>
                <c:pt idx="0">
                  <c:v>3617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Données!$M$6</c:f>
              <c:numCache>
                <c:formatCode>General</c:formatCode>
                <c:ptCount val="1"/>
                <c:pt idx="0">
                  <c:v>3907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Données!$N$6</c:f>
              <c:numCache>
                <c:formatCode>General</c:formatCode>
                <c:ptCount val="1"/>
                <c:pt idx="0">
                  <c:v>3793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Données!$O$6</c:f>
              <c:numCache>
                <c:formatCode>General</c:formatCode>
                <c:ptCount val="1"/>
                <c:pt idx="0">
                  <c:v>4216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Données!$P$6</c:f>
              <c:numCache>
                <c:formatCode>General</c:formatCode>
                <c:ptCount val="1"/>
                <c:pt idx="0">
                  <c:v>4267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Données!$Q$6</c:f>
              <c:numCache>
                <c:formatCode>General</c:formatCode>
                <c:ptCount val="1"/>
                <c:pt idx="0">
                  <c:v>4316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Données!$R$6</c:f>
              <c:numCache>
                <c:formatCode>General</c:formatCode>
                <c:ptCount val="1"/>
                <c:pt idx="0">
                  <c:v>4359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Données!$S$6</c:f>
              <c:numCache>
                <c:formatCode>General</c:formatCode>
                <c:ptCount val="1"/>
                <c:pt idx="0">
                  <c:v>4261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Données!$T$6</c:f>
              <c:numCache>
                <c:formatCode>General</c:formatCode>
                <c:ptCount val="1"/>
                <c:pt idx="0">
                  <c:v>4399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Données!$U$6</c:f>
              <c:numCache>
                <c:formatCode>General</c:formatCode>
                <c:ptCount val="1"/>
                <c:pt idx="0">
                  <c:v>4409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Données!$V$6</c:f>
              <c:numCache>
                <c:formatCode>General</c:formatCode>
                <c:ptCount val="1"/>
                <c:pt idx="0">
                  <c:v>4249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Données!$W$6</c:f>
              <c:numCache>
                <c:formatCode>General</c:formatCode>
                <c:ptCount val="1"/>
                <c:pt idx="0">
                  <c:v>4094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Données!$X$6</c:f>
              <c:numCache>
                <c:formatCode>General</c:formatCode>
                <c:ptCount val="1"/>
                <c:pt idx="0">
                  <c:v>3995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Données!$Y$6</c:f>
              <c:numCache>
                <c:formatCode>General</c:formatCode>
                <c:ptCount val="1"/>
                <c:pt idx="0">
                  <c:v>4381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Données!$Z$6</c:f>
              <c:numCache>
                <c:formatCode>General</c:formatCode>
                <c:ptCount val="1"/>
                <c:pt idx="0">
                  <c:v>4521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Données!$AA$6</c:f>
              <c:numCache>
                <c:formatCode>General</c:formatCode>
                <c:ptCount val="1"/>
                <c:pt idx="0">
                  <c:v>4683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Données!$AB$6</c:f>
              <c:numCache>
                <c:formatCode>General</c:formatCode>
                <c:ptCount val="1"/>
                <c:pt idx="0">
                  <c:v>4918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Données!$AC$6</c:f>
              <c:numCache>
                <c:formatCode>General</c:formatCode>
                <c:ptCount val="1"/>
                <c:pt idx="0">
                  <c:v>5083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Données!$AD$6</c:f>
              <c:numCache>
                <c:formatCode>General</c:formatCode>
                <c:ptCount val="1"/>
                <c:pt idx="0">
                  <c:v>4929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Données!$AE$6</c:f>
              <c:numCache>
                <c:formatCode>General</c:formatCode>
                <c:ptCount val="1"/>
                <c:pt idx="0">
                  <c:v>5004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Données!$AF$6</c:f>
              <c:numCache>
                <c:formatCode>General</c:formatCode>
                <c:ptCount val="1"/>
                <c:pt idx="0">
                  <c:v>4848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Données!$AG$6</c:f>
              <c:numCache>
                <c:formatCode>General</c:formatCode>
                <c:ptCount val="1"/>
                <c:pt idx="0">
                  <c:v>4934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Données!$AH$6</c:f>
              <c:numCache>
                <c:formatCode>General</c:formatCode>
                <c:ptCount val="1"/>
                <c:pt idx="0">
                  <c:v>4942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Données!$AI$6</c:f>
              <c:numCache>
                <c:formatCode>General</c:formatCode>
                <c:ptCount val="1"/>
                <c:pt idx="0">
                  <c:v>4958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Données!$AJ$6</c:f>
              <c:numCache>
                <c:formatCode>General</c:formatCode>
                <c:ptCount val="1"/>
                <c:pt idx="0">
                  <c:v>4844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Données!$AK$6</c:f>
              <c:numCache>
                <c:formatCode>General</c:formatCode>
                <c:ptCount val="1"/>
                <c:pt idx="0">
                  <c:v>4839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Données!$AL$6</c:f>
              <c:numCache>
                <c:formatCode>General</c:formatCode>
                <c:ptCount val="1"/>
                <c:pt idx="0">
                  <c:v>4896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Données!$AM$6</c:f>
              <c:numCache>
                <c:formatCode>General</c:formatCode>
                <c:ptCount val="1"/>
                <c:pt idx="0">
                  <c:v>5262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Données!$AN$6</c:f>
              <c:numCache>
                <c:formatCode>General</c:formatCode>
                <c:ptCount val="1"/>
                <c:pt idx="0">
                  <c:v>5513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Données!$AO$6</c:f>
              <c:numCache>
                <c:formatCode>General</c:formatCode>
                <c:ptCount val="1"/>
                <c:pt idx="0">
                  <c:v>5359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Données!$AP$6</c:f>
              <c:numCache>
                <c:formatCode>General</c:formatCode>
                <c:ptCount val="1"/>
                <c:pt idx="0">
                  <c:v>5106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Données!$AQ$6</c:f>
              <c:numCache>
                <c:formatCode>General</c:formatCode>
                <c:ptCount val="1"/>
                <c:pt idx="0">
                  <c:v>5354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Données!$AR$6</c:f>
              <c:numCache>
                <c:formatCode>General</c:formatCode>
                <c:ptCount val="1"/>
                <c:pt idx="0">
                  <c:v>5227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Données!$AS$6</c:f>
              <c:numCache>
                <c:formatCode>General</c:formatCode>
                <c:ptCount val="1"/>
                <c:pt idx="0">
                  <c:v>5180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Données!$AT$6</c:f>
              <c:numCache>
                <c:formatCode>General</c:formatCode>
                <c:ptCount val="1"/>
                <c:pt idx="0">
                  <c:v>5050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Données!$AU$6</c:f>
              <c:numCache>
                <c:formatCode>General</c:formatCode>
                <c:ptCount val="1"/>
                <c:pt idx="0">
                  <c:v>5100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Données!$AV$6</c:f>
              <c:numCache>
                <c:formatCode>General</c:formatCode>
                <c:ptCount val="1"/>
                <c:pt idx="0">
                  <c:v>5020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Données!$AW$6</c:f>
              <c:numCache>
                <c:formatCode>General</c:formatCode>
                <c:ptCount val="1"/>
                <c:pt idx="0">
                  <c:v>4940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Données!$AX$6</c:f>
              <c:numCache>
                <c:formatCode>General</c:formatCode>
                <c:ptCount val="1"/>
                <c:pt idx="0">
                  <c:v>4880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Données!$AY$6</c:f>
              <c:numCache>
                <c:formatCode>General</c:formatCode>
                <c:ptCount val="1"/>
                <c:pt idx="0">
                  <c:v>5380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Données!$AZ$6</c:f>
              <c:numCache>
                <c:formatCode>General</c:formatCode>
                <c:ptCount val="1"/>
                <c:pt idx="0">
                  <c:v>5550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Données!$BA$6</c:f>
              <c:numCache>
                <c:formatCode>General</c:formatCode>
                <c:ptCount val="1"/>
                <c:pt idx="0">
                  <c:v>5290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Données!$BB$6</c:f>
              <c:numCache>
                <c:formatCode>General</c:formatCode>
                <c:ptCount val="1"/>
                <c:pt idx="0">
                  <c:v>5720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Données!$BC$6</c:f>
              <c:numCache>
                <c:formatCode>General</c:formatCode>
                <c:ptCount val="1"/>
                <c:pt idx="0">
                  <c:v>5981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Données!$BJ$6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867584"/>
        <c:axId val="94074309"/>
      </c:lineChart>
      <c:catAx>
        <c:axId val="36867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74309"/>
        <c:crosses val="autoZero"/>
        <c:auto val="1"/>
        <c:lblAlgn val="ctr"/>
        <c:lblOffset val="100"/>
        <c:noMultiLvlLbl val="0"/>
      </c:catAx>
      <c:valAx>
        <c:axId val="94074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67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Nasdaq Composite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"Nasdaq Composite"</c:f>
              <c:strCache>
                <c:ptCount val="1"/>
                <c:pt idx="0">
                  <c:v>Nasdaq Composite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Données!$C$7</c:f>
              <c:numCache>
                <c:formatCode>General</c:formatCode>
                <c:ptCount val="1"/>
                <c:pt idx="0">
                  <c:v>14239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Données!$D$7</c:f>
              <c:numCache>
                <c:formatCode>General</c:formatCode>
                <c:ptCount val="1"/>
                <c:pt idx="0">
                  <c:v>13751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Données!$E$7</c:f>
              <c:numCache>
                <c:formatCode>General</c:formatCode>
                <c:ptCount val="1"/>
                <c:pt idx="0">
                  <c:v>14262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Données!$F$7</c:f>
              <c:numCache>
                <c:formatCode>General</c:formatCode>
                <c:ptCount val="1"/>
                <c:pt idx="0">
                  <c:v>12335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Données!$G$7</c:f>
              <c:numCache>
                <c:formatCode>General</c:formatCode>
                <c:ptCount val="1"/>
                <c:pt idx="0">
                  <c:v>11835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Données!$H$7</c:f>
              <c:numCache>
                <c:formatCode>General</c:formatCode>
                <c:ptCount val="1"/>
                <c:pt idx="0">
                  <c:v>10774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Données!$I$7</c:f>
              <c:numCache>
                <c:formatCode>General</c:formatCode>
                <c:ptCount val="1"/>
                <c:pt idx="0">
                  <c:v>12391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Données!$J$7</c:f>
              <c:numCache>
                <c:formatCode>General</c:formatCode>
                <c:ptCount val="1"/>
                <c:pt idx="0">
                  <c:v>11630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Données!$K$7</c:f>
              <c:numCache>
                <c:formatCode>General</c:formatCode>
                <c:ptCount val="1"/>
                <c:pt idx="0">
                  <c:v>10575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Données!$L$7</c:f>
              <c:numCache>
                <c:formatCode>General</c:formatCode>
                <c:ptCount val="1"/>
                <c:pt idx="0">
                  <c:v>10971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Données!$M$7</c:f>
              <c:numCache>
                <c:formatCode>General</c:formatCode>
                <c:ptCount val="1"/>
                <c:pt idx="0">
                  <c:v>11468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Données!$N$7</c:f>
              <c:numCache>
                <c:formatCode>General</c:formatCode>
                <c:ptCount val="1"/>
                <c:pt idx="0">
                  <c:v>10939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Données!$O$7</c:f>
              <c:numCache>
                <c:formatCode>General</c:formatCode>
                <c:ptCount val="1"/>
                <c:pt idx="0">
                  <c:v>11621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Données!$P$7</c:f>
              <c:numCache>
                <c:formatCode>General</c:formatCode>
                <c:ptCount val="1"/>
                <c:pt idx="0">
                  <c:v>11455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Données!$Q$7</c:f>
              <c:numCache>
                <c:formatCode>General</c:formatCode>
                <c:ptCount val="1"/>
                <c:pt idx="0">
                  <c:v>12222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Données!$R$7</c:f>
              <c:numCache>
                <c:formatCode>General</c:formatCode>
                <c:ptCount val="1"/>
                <c:pt idx="0">
                  <c:v>12227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Données!$S$7</c:f>
              <c:numCache>
                <c:formatCode>General</c:formatCode>
                <c:ptCount val="1"/>
                <c:pt idx="0">
                  <c:v>13181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Données!$T$7</c:f>
              <c:numCache>
                <c:formatCode>General</c:formatCode>
                <c:ptCount val="1"/>
                <c:pt idx="0">
                  <c:v>13788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Données!$U$7</c:f>
              <c:numCache>
                <c:formatCode>General</c:formatCode>
                <c:ptCount val="1"/>
                <c:pt idx="0">
                  <c:v>14317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Données!$V$7</c:f>
              <c:numCache>
                <c:formatCode>General</c:formatCode>
                <c:ptCount val="1"/>
                <c:pt idx="0">
                  <c:v>13791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Données!$W$7</c:f>
              <c:numCache>
                <c:formatCode>General</c:formatCode>
                <c:ptCount val="1"/>
                <c:pt idx="0">
                  <c:v>13219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Données!$X$7</c:f>
              <c:numCache>
                <c:formatCode>General</c:formatCode>
                <c:ptCount val="1"/>
                <c:pt idx="0">
                  <c:v>12851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Données!$Y$7</c:f>
              <c:numCache>
                <c:formatCode>General</c:formatCode>
                <c:ptCount val="1"/>
                <c:pt idx="0">
                  <c:v>14226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Données!$Z$7</c:f>
              <c:numCache>
                <c:formatCode>General</c:formatCode>
                <c:ptCount val="1"/>
                <c:pt idx="0">
                  <c:v>15011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Données!$AA$7</c:f>
              <c:numCache>
                <c:formatCode>General</c:formatCode>
                <c:ptCount val="1"/>
                <c:pt idx="0">
                  <c:v>15361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Données!$AB$7</c:f>
              <c:numCache>
                <c:formatCode>General</c:formatCode>
                <c:ptCount val="1"/>
                <c:pt idx="0">
                  <c:v>15997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Données!$AC$7</c:f>
              <c:numCache>
                <c:formatCode>General</c:formatCode>
                <c:ptCount val="1"/>
                <c:pt idx="0">
                  <c:v>16380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Données!$AD$7</c:f>
              <c:numCache>
                <c:formatCode>General</c:formatCode>
                <c:ptCount val="1"/>
                <c:pt idx="0">
                  <c:v>15657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Données!$AE$7</c:f>
              <c:numCache>
                <c:formatCode>General</c:formatCode>
                <c:ptCount val="1"/>
                <c:pt idx="0">
                  <c:v>16736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Données!$AF$7</c:f>
              <c:numCache>
                <c:formatCode>General</c:formatCode>
                <c:ptCount val="1"/>
                <c:pt idx="0">
                  <c:v>17733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Données!$AG$7</c:f>
              <c:numCache>
                <c:formatCode>General</c:formatCode>
                <c:ptCount val="1"/>
                <c:pt idx="0">
                  <c:v>17599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Données!$AH$7</c:f>
              <c:numCache>
                <c:formatCode>General</c:formatCode>
                <c:ptCount val="1"/>
                <c:pt idx="0">
                  <c:v>17713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Données!$AI$7</c:f>
              <c:numCache>
                <c:formatCode>General</c:formatCode>
                <c:ptCount val="1"/>
                <c:pt idx="0">
                  <c:v>17926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Données!$AJ$7</c:f>
              <c:numCache>
                <c:formatCode>General</c:formatCode>
                <c:ptCount val="1"/>
                <c:pt idx="0">
                  <c:v>18096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Données!$AK$7</c:f>
              <c:numCache>
                <c:formatCode>General</c:formatCode>
                <c:ptCount val="1"/>
                <c:pt idx="0">
                  <c:v>19218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Données!$AL$7</c:f>
              <c:numCache>
                <c:formatCode>General</c:formatCode>
                <c:ptCount val="1"/>
                <c:pt idx="0">
                  <c:v>19310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Données!$AM$7</c:f>
              <c:numCache>
                <c:formatCode>General</c:formatCode>
                <c:ptCount val="1"/>
                <c:pt idx="0">
                  <c:v>19281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Données!$AN$7</c:f>
              <c:numCache>
                <c:formatCode>General</c:formatCode>
                <c:ptCount val="1"/>
                <c:pt idx="0">
                  <c:v>18847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Données!$AO$7</c:f>
              <c:numCache>
                <c:formatCode>General</c:formatCode>
                <c:ptCount val="1"/>
                <c:pt idx="0">
                  <c:v>17300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Données!$AP$7</c:f>
              <c:numCache>
                <c:formatCode>General</c:formatCode>
                <c:ptCount val="1"/>
                <c:pt idx="0">
                  <c:v>17166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Données!$AQ$7</c:f>
              <c:numCache>
                <c:formatCode>General</c:formatCode>
                <c:ptCount val="1"/>
                <c:pt idx="0">
                  <c:v>19113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Données!$AR$7</c:f>
              <c:numCache>
                <c:formatCode>General</c:formatCode>
                <c:ptCount val="1"/>
                <c:pt idx="0">
                  <c:v>20058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Données!$AS$7</c:f>
              <c:numCache>
                <c:formatCode>General</c:formatCode>
                <c:ptCount val="1"/>
                <c:pt idx="0">
                  <c:v>20453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Données!$AT$7</c:f>
              <c:numCache>
                <c:formatCode>General</c:formatCode>
                <c:ptCount val="1"/>
                <c:pt idx="0">
                  <c:v>19474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Données!$AU$7</c:f>
              <c:numCache>
                <c:formatCode>General</c:formatCode>
                <c:ptCount val="1"/>
                <c:pt idx="0">
                  <c:v>19791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Données!$AV$7</c:f>
              <c:numCache>
                <c:formatCode>General</c:formatCode>
                <c:ptCount val="1"/>
                <c:pt idx="0">
                  <c:v>18518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Données!$AW$7</c:f>
              <c:numCache>
                <c:formatCode>General</c:formatCode>
                <c:ptCount val="1"/>
                <c:pt idx="0">
                  <c:v>19161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Données!$AX$7</c:f>
              <c:numCache>
                <c:formatCode>General</c:formatCode>
                <c:ptCount val="1"/>
                <c:pt idx="0">
                  <c:v>19311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Données!$AY$7</c:f>
              <c:numCache>
                <c:formatCode>General</c:formatCode>
                <c:ptCount val="1"/>
                <c:pt idx="0">
                  <c:v>19956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Données!$AZ$7</c:f>
              <c:numCache>
                <c:formatCode>General</c:formatCode>
                <c:ptCount val="1"/>
                <c:pt idx="0">
                  <c:v>19630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Données!$BA$7</c:f>
              <c:numCache>
                <c:formatCode>General</c:formatCode>
                <c:ptCount val="1"/>
                <c:pt idx="0">
                  <c:v>17899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Données!$BB$7</c:f>
              <c:numCache>
                <c:formatCode>General</c:formatCode>
                <c:ptCount val="1"/>
                <c:pt idx="0">
                  <c:v>19088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Données!$BC$7</c:f>
              <c:numCache>
                <c:formatCode>General</c:formatCode>
                <c:ptCount val="1"/>
                <c:pt idx="0">
                  <c:v>26121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Données!$BJ$7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498180"/>
        <c:axId val="21641856"/>
      </c:lineChart>
      <c:catAx>
        <c:axId val="174981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41856"/>
        <c:crosses val="autoZero"/>
        <c:auto val="1"/>
        <c:lblAlgn val="ctr"/>
        <c:lblOffset val="100"/>
        <c:noMultiLvlLbl val="0"/>
      </c:catAx>
      <c:valAx>
        <c:axId val="21641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981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 Jones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"Dow Jones"</c:f>
              <c:strCache>
                <c:ptCount val="1"/>
                <c:pt idx="0">
                  <c:v>Dow Jones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Données!$C$8</c:f>
              <c:numCache>
                <c:formatCode>General</c:formatCode>
                <c:ptCount val="1"/>
                <c:pt idx="0">
                  <c:v>35132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Données!$D$8</c:f>
              <c:numCache>
                <c:formatCode>General</c:formatCode>
                <c:ptCount val="1"/>
                <c:pt idx="0">
                  <c:v>33893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Données!$E$8</c:f>
              <c:numCache>
                <c:formatCode>General</c:formatCode>
                <c:ptCount val="1"/>
                <c:pt idx="0">
                  <c:v>34678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Données!$F$8</c:f>
              <c:numCache>
                <c:formatCode>General</c:formatCode>
                <c:ptCount val="1"/>
                <c:pt idx="0">
                  <c:v>32977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Données!$G$8</c:f>
              <c:numCache>
                <c:formatCode>General</c:formatCode>
                <c:ptCount val="1"/>
                <c:pt idx="0">
                  <c:v>32990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Données!$H$8</c:f>
              <c:numCache>
                <c:formatCode>General</c:formatCode>
                <c:ptCount val="1"/>
                <c:pt idx="0">
                  <c:v>30775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Données!$I$8</c:f>
              <c:numCache>
                <c:formatCode>General</c:formatCode>
                <c:ptCount val="1"/>
                <c:pt idx="0">
                  <c:v>32845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Données!$J$8</c:f>
              <c:numCache>
                <c:formatCode>General</c:formatCode>
                <c:ptCount val="1"/>
                <c:pt idx="0">
                  <c:v>31510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Données!$K$8</c:f>
              <c:numCache>
                <c:formatCode>General</c:formatCode>
                <c:ptCount val="1"/>
                <c:pt idx="0">
                  <c:v>28726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Données!$L$8</c:f>
              <c:numCache>
                <c:formatCode>General</c:formatCode>
                <c:ptCount val="1"/>
                <c:pt idx="0">
                  <c:v>32732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Données!$M$8</c:f>
              <c:numCache>
                <c:formatCode>General</c:formatCode>
                <c:ptCount val="1"/>
                <c:pt idx="0">
                  <c:v>34589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Données!$N$8</c:f>
              <c:numCache>
                <c:formatCode>General</c:formatCode>
                <c:ptCount val="1"/>
                <c:pt idx="0">
                  <c:v>33147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Données!$O$8</c:f>
              <c:numCache>
                <c:formatCode>General</c:formatCode>
                <c:ptCount val="1"/>
                <c:pt idx="0">
                  <c:v>34086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Données!$P$8</c:f>
              <c:numCache>
                <c:formatCode>General</c:formatCode>
                <c:ptCount val="1"/>
                <c:pt idx="0">
                  <c:v>32657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Données!$Q$8</c:f>
              <c:numCache>
                <c:formatCode>General</c:formatCode>
                <c:ptCount val="1"/>
                <c:pt idx="0">
                  <c:v>33274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Données!$R$8</c:f>
              <c:numCache>
                <c:formatCode>General</c:formatCode>
                <c:ptCount val="1"/>
                <c:pt idx="0">
                  <c:v>34098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Données!$S$8</c:f>
              <c:numCache>
                <c:formatCode>General</c:formatCode>
                <c:ptCount val="1"/>
                <c:pt idx="0">
                  <c:v>32909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Données!$T$8</c:f>
              <c:numCache>
                <c:formatCode>General</c:formatCode>
                <c:ptCount val="1"/>
                <c:pt idx="0">
                  <c:v>34408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Données!$U$8</c:f>
              <c:numCache>
                <c:formatCode>General</c:formatCode>
                <c:ptCount val="1"/>
                <c:pt idx="0">
                  <c:v>35559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Données!$V$8</c:f>
              <c:numCache>
                <c:formatCode>General</c:formatCode>
                <c:ptCount val="1"/>
                <c:pt idx="0">
                  <c:v>34722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Données!$W$8</c:f>
              <c:numCache>
                <c:formatCode>General</c:formatCode>
                <c:ptCount val="1"/>
                <c:pt idx="0">
                  <c:v>33507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Données!$X$8</c:f>
              <c:numCache>
                <c:formatCode>General</c:formatCode>
                <c:ptCount val="1"/>
                <c:pt idx="0">
                  <c:v>33052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Données!$Y$8</c:f>
              <c:numCache>
                <c:formatCode>General</c:formatCode>
                <c:ptCount val="1"/>
                <c:pt idx="0">
                  <c:v>35950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Données!$Z$8</c:f>
              <c:numCache>
                <c:formatCode>General</c:formatCode>
                <c:ptCount val="1"/>
                <c:pt idx="0">
                  <c:v>37690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Données!$AA$8</c:f>
              <c:numCache>
                <c:formatCode>General</c:formatCode>
                <c:ptCount val="1"/>
                <c:pt idx="0">
                  <c:v>38150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Données!$AB$8</c:f>
              <c:numCache>
                <c:formatCode>General</c:formatCode>
                <c:ptCount val="1"/>
                <c:pt idx="0">
                  <c:v>38997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Données!$AC$8</c:f>
              <c:numCache>
                <c:formatCode>General</c:formatCode>
                <c:ptCount val="1"/>
                <c:pt idx="0">
                  <c:v>39807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Données!$AD$8</c:f>
              <c:numCache>
                <c:formatCode>General</c:formatCode>
                <c:ptCount val="1"/>
                <c:pt idx="0">
                  <c:v>37816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Données!$AE$8</c:f>
              <c:numCache>
                <c:formatCode>General</c:formatCode>
                <c:ptCount val="1"/>
                <c:pt idx="0">
                  <c:v>38687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Données!$AF$8</c:f>
              <c:numCache>
                <c:formatCode>General</c:formatCode>
                <c:ptCount val="1"/>
                <c:pt idx="0">
                  <c:v>39118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Données!$AG$8</c:f>
              <c:numCache>
                <c:formatCode>General</c:formatCode>
                <c:ptCount val="1"/>
                <c:pt idx="0">
                  <c:v>40842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Données!$AH$8</c:f>
              <c:numCache>
                <c:formatCode>General</c:formatCode>
                <c:ptCount val="1"/>
                <c:pt idx="0">
                  <c:v>41563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Données!$AI$8</c:f>
              <c:numCache>
                <c:formatCode>General</c:formatCode>
                <c:ptCount val="1"/>
                <c:pt idx="0">
                  <c:v>42330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Données!$AJ$8</c:f>
              <c:numCache>
                <c:formatCode>General</c:formatCode>
                <c:ptCount val="1"/>
                <c:pt idx="0">
                  <c:v>41763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Données!$AK$8</c:f>
              <c:numCache>
                <c:formatCode>General</c:formatCode>
                <c:ptCount val="1"/>
                <c:pt idx="0">
                  <c:v>44910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Données!$AL$8</c:f>
              <c:numCache>
                <c:formatCode>General</c:formatCode>
                <c:ptCount val="1"/>
                <c:pt idx="0">
                  <c:v>42544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Données!$AM$8</c:f>
              <c:numCache>
                <c:formatCode>General</c:formatCode>
                <c:ptCount val="1"/>
                <c:pt idx="0">
                  <c:v>44544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Données!$AN$8</c:f>
              <c:numCache>
                <c:formatCode>General</c:formatCode>
                <c:ptCount val="1"/>
                <c:pt idx="0">
                  <c:v>43841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Données!$AO$8</c:f>
              <c:numCache>
                <c:formatCode>General</c:formatCode>
                <c:ptCount val="1"/>
                <c:pt idx="0">
                  <c:v>41583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Données!$AP$8</c:f>
              <c:numCache>
                <c:formatCode>General</c:formatCode>
                <c:ptCount val="1"/>
                <c:pt idx="0">
                  <c:v>40669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Données!$AQ$8</c:f>
              <c:numCache>
                <c:formatCode>General</c:formatCode>
                <c:ptCount val="1"/>
                <c:pt idx="0">
                  <c:v>44114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Données!$AR$8</c:f>
              <c:numCache>
                <c:formatCode>General</c:formatCode>
                <c:ptCount val="1"/>
                <c:pt idx="0">
                  <c:v>44271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Données!$AS$8</c:f>
              <c:numCache>
                <c:formatCode>General</c:formatCode>
                <c:ptCount val="1"/>
                <c:pt idx="0">
                  <c:v>44765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Données!$AT$8</c:f>
              <c:numCache>
                <c:formatCode>General</c:formatCode>
                <c:ptCount val="1"/>
                <c:pt idx="0">
                  <c:v>41563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Données!$AU$8</c:f>
              <c:numCache>
                <c:formatCode>General</c:formatCode>
                <c:ptCount val="1"/>
                <c:pt idx="0">
                  <c:v>42348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Données!$AV$8</c:f>
              <c:numCache>
                <c:formatCode>General</c:formatCode>
                <c:ptCount val="1"/>
                <c:pt idx="0">
                  <c:v>41763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Données!$AW$8</c:f>
              <c:numCache>
                <c:formatCode>General</c:formatCode>
                <c:ptCount val="1"/>
                <c:pt idx="0">
                  <c:v>44538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Données!$AX$8</c:f>
              <c:numCache>
                <c:formatCode>General</c:formatCode>
                <c:ptCount val="1"/>
                <c:pt idx="0">
                  <c:v>42573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Données!$AY$8</c:f>
              <c:numCache>
                <c:formatCode>General</c:formatCode>
                <c:ptCount val="1"/>
                <c:pt idx="0">
                  <c:v>45003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Données!$AZ$8</c:f>
              <c:numCache>
                <c:formatCode>General</c:formatCode>
                <c:ptCount val="1"/>
                <c:pt idx="0">
                  <c:v>43840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Données!$BA$8</c:f>
              <c:numCache>
                <c:formatCode>General</c:formatCode>
                <c:ptCount val="1"/>
                <c:pt idx="0">
                  <c:v>41582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Données!$BB$8</c:f>
              <c:numCache>
                <c:formatCode>General</c:formatCode>
                <c:ptCount val="1"/>
                <c:pt idx="0">
                  <c:v>40527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Données!$BC$8</c:f>
              <c:numCache>
                <c:formatCode>General</c:formatCode>
                <c:ptCount val="1"/>
                <c:pt idx="0">
                  <c:v>49878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Données!$BJ$8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93129"/>
        <c:axId val="21613209"/>
      </c:lineChart>
      <c:catAx>
        <c:axId val="1293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13209"/>
        <c:crosses val="autoZero"/>
        <c:auto val="1"/>
        <c:lblAlgn val="ctr"/>
        <c:lblOffset val="100"/>
        <c:noMultiLvlLbl val="0"/>
      </c:catAx>
      <c:valAx>
        <c:axId val="21613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3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VIX — Volatilité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"VIX — Volatilité"</c:f>
              <c:strCache>
                <c:ptCount val="1"/>
                <c:pt idx="0">
                  <c:v>VIX — Volatilité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Données!$C$9</c:f>
              <c:numCache>
                <c:formatCode>General</c:formatCode>
                <c:ptCount val="1"/>
                <c:pt idx="0">
                  <c:v>24.8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Données!$D$9</c:f>
              <c:numCache>
                <c:formatCode>General</c:formatCode>
                <c:ptCount val="1"/>
                <c:pt idx="0">
                  <c:v>30.7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Données!$E$9</c:f>
              <c:numCache>
                <c:formatCode>General</c:formatCode>
                <c:ptCount val="1"/>
                <c:pt idx="0">
                  <c:v>22.5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Données!$F$9</c:f>
              <c:numCache>
                <c:formatCode>General</c:formatCode>
                <c:ptCount val="1"/>
                <c:pt idx="0">
                  <c:v>33.4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Données!$G$9</c:f>
              <c:numCache>
                <c:formatCode>General</c:formatCode>
                <c:ptCount val="1"/>
                <c:pt idx="0">
                  <c:v>26.2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Données!$H$9</c:f>
              <c:numCache>
                <c:formatCode>General</c:formatCode>
                <c:ptCount val="1"/>
                <c:pt idx="0">
                  <c:v>28.7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Données!$I$9</c:f>
              <c:numCache>
                <c:formatCode>General</c:formatCode>
                <c:ptCount val="1"/>
                <c:pt idx="0">
                  <c:v>21.3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Données!$J$9</c:f>
              <c:numCache>
                <c:formatCode>General</c:formatCode>
                <c:ptCount val="1"/>
                <c:pt idx="0">
                  <c:v>25.5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Données!$K$9</c:f>
              <c:numCache>
                <c:formatCode>General</c:formatCode>
                <c:ptCount val="1"/>
                <c:pt idx="0">
                  <c:v>31.6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Données!$L$9</c:f>
              <c:numCache>
                <c:formatCode>General</c:formatCode>
                <c:ptCount val="1"/>
                <c:pt idx="0">
                  <c:v>25.9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Données!$M$9</c:f>
              <c:numCache>
                <c:formatCode>General</c:formatCode>
                <c:ptCount val="1"/>
                <c:pt idx="0">
                  <c:v>20.6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Données!$N$9</c:f>
              <c:numCache>
                <c:formatCode>General</c:formatCode>
                <c:ptCount val="1"/>
                <c:pt idx="0">
                  <c:v>21.7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Données!$O$9</c:f>
              <c:numCache>
                <c:formatCode>General</c:formatCode>
                <c:ptCount val="1"/>
                <c:pt idx="0">
                  <c:v>18.4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Données!$P$9</c:f>
              <c:numCache>
                <c:formatCode>General</c:formatCode>
                <c:ptCount val="1"/>
                <c:pt idx="0">
                  <c:v>20.7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Données!$Q$9</c:f>
              <c:numCache>
                <c:formatCode>General</c:formatCode>
                <c:ptCount val="1"/>
                <c:pt idx="0">
                  <c:v>18.7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Données!$R$9</c:f>
              <c:numCache>
                <c:formatCode>General</c:formatCode>
                <c:ptCount val="1"/>
                <c:pt idx="0">
                  <c:v>15.8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Données!$S$9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Données!$T$9</c:f>
              <c:numCache>
                <c:formatCode>General</c:formatCode>
                <c:ptCount val="1"/>
                <c:pt idx="0">
                  <c:v>13.6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Données!$U$9</c:f>
              <c:numCache>
                <c:formatCode>General</c:formatCode>
                <c:ptCount val="1"/>
                <c:pt idx="0">
                  <c:v>13.3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Données!$V$9</c:f>
              <c:numCache>
                <c:formatCode>General</c:formatCode>
                <c:ptCount val="1"/>
                <c:pt idx="0">
                  <c:v>15.7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Données!$W$9</c:f>
              <c:numCache>
                <c:formatCode>General</c:formatCode>
                <c:ptCount val="1"/>
                <c:pt idx="0">
                  <c:v>17.5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Données!$X$9</c:f>
              <c:numCache>
                <c:formatCode>General</c:formatCode>
                <c:ptCount val="1"/>
                <c:pt idx="0">
                  <c:v>19.7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Données!$Y$9</c:f>
              <c:numCache>
                <c:formatCode>General</c:formatCode>
                <c:ptCount val="1"/>
                <c:pt idx="0">
                  <c:v>12.6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Données!$Z$9</c:f>
              <c:numCache>
                <c:formatCode>General</c:formatCode>
                <c:ptCount val="1"/>
                <c:pt idx="0">
                  <c:v>12.5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Données!$AA$9</c:f>
              <c:numCache>
                <c:formatCode>General</c:formatCode>
                <c:ptCount val="1"/>
                <c:pt idx="0">
                  <c:v>13.3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Données!$AB$9</c:f>
              <c:numCache>
                <c:formatCode>General</c:formatCode>
                <c:ptCount val="1"/>
                <c:pt idx="0">
                  <c:v>13.1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Données!$AC$9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Données!$AD$9</c:f>
              <c:numCache>
                <c:formatCode>General</c:formatCode>
                <c:ptCount val="1"/>
                <c:pt idx="0">
                  <c:v>15.3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Données!$AE$9</c:f>
              <c:numCache>
                <c:formatCode>General</c:formatCode>
                <c:ptCount val="1"/>
                <c:pt idx="0">
                  <c:v>13.4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Données!$AF$9</c:f>
              <c:numCache>
                <c:formatCode>General</c:formatCode>
                <c:ptCount val="1"/>
                <c:pt idx="0">
                  <c:v>12.4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Données!$AG$9</c:f>
              <c:numCache>
                <c:formatCode>General</c:formatCode>
                <c:ptCount val="1"/>
                <c:pt idx="0">
                  <c:v>16.4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Données!$AI$9</c:f>
              <c:numCache>
                <c:formatCode>General</c:formatCode>
                <c:ptCount val="1"/>
                <c:pt idx="0">
                  <c:v>16.7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Données!$AJ$9</c:f>
              <c:numCache>
                <c:formatCode>General</c:formatCode>
                <c:ptCount val="1"/>
                <c:pt idx="0">
                  <c:v>23.2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Données!$AK$9</c:f>
              <c:numCache>
                <c:formatCode>General</c:formatCode>
                <c:ptCount val="1"/>
                <c:pt idx="0">
                  <c:v>14.1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Données!$AL$9</c:f>
              <c:numCache>
                <c:formatCode>General</c:formatCode>
                <c:ptCount val="1"/>
                <c:pt idx="0">
                  <c:v>17.4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Données!$AM$9</c:f>
              <c:numCache>
                <c:formatCode>General</c:formatCode>
                <c:ptCount val="1"/>
                <c:pt idx="0">
                  <c:v>16.4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Données!$AN$9</c:f>
              <c:numCache>
                <c:formatCode>General</c:formatCode>
                <c:ptCount val="1"/>
                <c:pt idx="0">
                  <c:v>19.6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Données!$AO$9</c:f>
              <c:numCache>
                <c:formatCode>General</c:formatCode>
                <c:ptCount val="1"/>
                <c:pt idx="0">
                  <c:v>22.3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Données!$AP$9</c:f>
              <c:numCache>
                <c:formatCode>General</c:formatCode>
                <c:ptCount val="1"/>
                <c:pt idx="0">
                  <c:v>34.5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Données!$AQ$9</c:f>
              <c:numCache>
                <c:formatCode>General</c:formatCode>
                <c:ptCount val="1"/>
                <c:pt idx="0">
                  <c:v>18.2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Données!$AR$9</c:f>
              <c:numCache>
                <c:formatCode>General</c:formatCode>
                <c:ptCount val="1"/>
                <c:pt idx="0">
                  <c:v>16.7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Données!$AS$9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Données!$AT$9</c:f>
              <c:numCache>
                <c:formatCode>General</c:formatCode>
                <c:ptCount val="1"/>
                <c:pt idx="0">
                  <c:v>20.1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Données!$AU$9</c:f>
              <c:numCache>
                <c:formatCode>General</c:formatCode>
                <c:ptCount val="1"/>
                <c:pt idx="0">
                  <c:v>17.3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Données!$AV$9</c:f>
              <c:numCache>
                <c:formatCode>General</c:formatCode>
                <c:ptCount val="1"/>
                <c:pt idx="0">
                  <c:v>22.4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Données!$AW$9</c:f>
              <c:numCache>
                <c:formatCode>General</c:formatCode>
                <c:ptCount val="1"/>
                <c:pt idx="0">
                  <c:v>15.6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Données!$AX$9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Données!$AY$9</c:f>
              <c:numCache>
                <c:formatCode>General</c:formatCode>
                <c:ptCount val="1"/>
                <c:pt idx="0">
                  <c:v>16.1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Données!$AZ$9</c:f>
              <c:numCache>
                <c:formatCode>General</c:formatCode>
                <c:ptCount val="1"/>
                <c:pt idx="0">
                  <c:v>20.4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Données!$BA$9</c:f>
              <c:numCache>
                <c:formatCode>General</c:formatCode>
                <c:ptCount val="1"/>
                <c:pt idx="0">
                  <c:v>21.9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Données!$BB$9</c:f>
              <c:numCache>
                <c:formatCode>General</c:formatCode>
                <c:ptCount val="1"/>
                <c:pt idx="0">
                  <c:v>24.8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Données!$BC$9</c:f>
              <c:numCache>
                <c:formatCode>General</c:formatCode>
                <c:ptCount val="1"/>
                <c:pt idx="0">
                  <c:v>17.4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Données!$BJ$9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16028"/>
        <c:axId val="72029186"/>
      </c:lineChart>
      <c:catAx>
        <c:axId val="682160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29186"/>
        <c:crosses val="autoZero"/>
        <c:auto val="1"/>
        <c:lblAlgn val="ctr"/>
        <c:lblOffset val="100"/>
        <c:noMultiLvlLbl val="0"/>
      </c:catAx>
      <c:valAx>
        <c:axId val="7202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16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EUR / USD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"EUR / USD"</c:f>
              <c:strCache>
                <c:ptCount val="1"/>
                <c:pt idx="0">
                  <c:v>EUR / USD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Données!$C$10</c:f>
              <c:numCache>
                <c:formatCode>General</c:formatCode>
                <c:ptCount val="1"/>
                <c:pt idx="0">
                  <c:v>1.1231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Données!$D$10</c:f>
              <c:numCache>
                <c:formatCode>General</c:formatCode>
                <c:ptCount val="1"/>
                <c:pt idx="0">
                  <c:v>1.1121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Données!$E$10</c:f>
              <c:numCache>
                <c:formatCode>General</c:formatCode>
                <c:ptCount val="1"/>
                <c:pt idx="0">
                  <c:v>1.1074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Données!$F$10</c:f>
              <c:numCache>
                <c:formatCode>General</c:formatCode>
                <c:ptCount val="1"/>
                <c:pt idx="0">
                  <c:v>1.0544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Données!$G$10</c:f>
              <c:numCache>
                <c:formatCode>General</c:formatCode>
                <c:ptCount val="1"/>
                <c:pt idx="0">
                  <c:v>1.0736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Données!$H$10</c:f>
              <c:numCache>
                <c:formatCode>General</c:formatCode>
                <c:ptCount val="1"/>
                <c:pt idx="0">
                  <c:v>1.0484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Données!$I$10</c:f>
              <c:numCache>
                <c:formatCode>General</c:formatCode>
                <c:ptCount val="1"/>
                <c:pt idx="0">
                  <c:v>1.0217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Données!$J$10</c:f>
              <c:numCache>
                <c:formatCode>General</c:formatCode>
                <c:ptCount val="1"/>
                <c:pt idx="0">
                  <c:v>1.0001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Données!$K$10</c:f>
              <c:numCache>
                <c:formatCode>General</c:formatCode>
                <c:ptCount val="1"/>
                <c:pt idx="0">
                  <c:v>0.9798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Données!$L$10</c:f>
              <c:numCache>
                <c:formatCode>General</c:formatCode>
                <c:ptCount val="1"/>
                <c:pt idx="0">
                  <c:v>0.9982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Données!$M$10</c:f>
              <c:numCache>
                <c:formatCode>General</c:formatCode>
                <c:ptCount val="1"/>
                <c:pt idx="0">
                  <c:v>1.0352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Données!$N$10</c:f>
              <c:numCache>
                <c:formatCode>General</c:formatCode>
                <c:ptCount val="1"/>
                <c:pt idx="0">
                  <c:v>1.0698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Données!$O$10</c:f>
              <c:numCache>
                <c:formatCode>General</c:formatCode>
                <c:ptCount val="1"/>
                <c:pt idx="0">
                  <c:v>1.0861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Données!$P$10</c:f>
              <c:numCache>
                <c:formatCode>General</c:formatCode>
                <c:ptCount val="1"/>
                <c:pt idx="0">
                  <c:v>1.0582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Données!$Q$10</c:f>
              <c:numCache>
                <c:formatCode>General</c:formatCode>
                <c:ptCount val="1"/>
                <c:pt idx="0">
                  <c:v>1.0927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Données!$R$10</c:f>
              <c:numCache>
                <c:formatCode>General</c:formatCode>
                <c:ptCount val="1"/>
                <c:pt idx="0">
                  <c:v>1.1021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Données!$S$10</c:f>
              <c:numCache>
                <c:formatCode>General</c:formatCode>
                <c:ptCount val="1"/>
                <c:pt idx="0">
                  <c:v>1.0746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Données!$T$10</c:f>
              <c:numCache>
                <c:formatCode>General</c:formatCode>
                <c:ptCount val="1"/>
                <c:pt idx="0">
                  <c:v>1.0912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Données!$U$10</c:f>
              <c:numCache>
                <c:formatCode>General</c:formatCode>
                <c:ptCount val="1"/>
                <c:pt idx="0">
                  <c:v>1.1008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Données!$V$10</c:f>
              <c:numCache>
                <c:formatCode>General</c:formatCode>
                <c:ptCount val="1"/>
                <c:pt idx="0">
                  <c:v>1.084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Données!$W$10</c:f>
              <c:numCache>
                <c:formatCode>General</c:formatCode>
                <c:ptCount val="1"/>
                <c:pt idx="0">
                  <c:v>1.0568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Données!$X$10</c:f>
              <c:numCache>
                <c:formatCode>General</c:formatCode>
                <c:ptCount val="1"/>
                <c:pt idx="0">
                  <c:v>1.0557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Données!$Y$10</c:f>
              <c:numCache>
                <c:formatCode>General</c:formatCode>
                <c:ptCount val="1"/>
                <c:pt idx="0">
                  <c:v>1.0888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Données!$Z$10</c:f>
              <c:numCache>
                <c:formatCode>General</c:formatCode>
                <c:ptCount val="1"/>
                <c:pt idx="0">
                  <c:v>1.105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Données!$AA$10</c:f>
              <c:numCache>
                <c:formatCode>General</c:formatCode>
                <c:ptCount val="1"/>
                <c:pt idx="0">
                  <c:v>1.0845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Données!$AB$10</c:f>
              <c:numCache>
                <c:formatCode>General</c:formatCode>
                <c:ptCount val="1"/>
                <c:pt idx="0">
                  <c:v>1.0843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Données!$AC$10</c:f>
              <c:numCache>
                <c:formatCode>General</c:formatCode>
                <c:ptCount val="1"/>
                <c:pt idx="0">
                  <c:v>1.0793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Données!$AD$10</c:f>
              <c:numCache>
                <c:formatCode>General</c:formatCode>
                <c:ptCount val="1"/>
                <c:pt idx="0">
                  <c:v>1.0726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Données!$AE$10</c:f>
              <c:numCache>
                <c:formatCode>General</c:formatCode>
                <c:ptCount val="1"/>
                <c:pt idx="0">
                  <c:v>1.0853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Données!$AF$10</c:f>
              <c:numCache>
                <c:formatCode>General</c:formatCode>
                <c:ptCount val="1"/>
                <c:pt idx="0">
                  <c:v>1.0715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Données!$AG$10</c:f>
              <c:numCache>
                <c:formatCode>General</c:formatCode>
                <c:ptCount val="1"/>
                <c:pt idx="0">
                  <c:v>1.0815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Données!$AH$10</c:f>
              <c:numCache>
                <c:formatCode>General</c:formatCode>
                <c:ptCount val="1"/>
                <c:pt idx="0">
                  <c:v>1.1046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Données!$AI$10</c:f>
              <c:numCache>
                <c:formatCode>General</c:formatCode>
                <c:ptCount val="1"/>
                <c:pt idx="0">
                  <c:v>1.1143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Données!$AJ$10</c:f>
              <c:numCache>
                <c:formatCode>General</c:formatCode>
                <c:ptCount val="1"/>
                <c:pt idx="0">
                  <c:v>1.0871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Données!$AK$10</c:f>
              <c:numCache>
                <c:formatCode>General</c:formatCode>
                <c:ptCount val="1"/>
                <c:pt idx="0">
                  <c:v>1.0534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Données!$AL$10</c:f>
              <c:numCache>
                <c:formatCode>General</c:formatCode>
                <c:ptCount val="1"/>
                <c:pt idx="0">
                  <c:v>1.0352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Données!$AM$10</c:f>
              <c:numCache>
                <c:formatCode>General</c:formatCode>
                <c:ptCount val="1"/>
                <c:pt idx="0">
                  <c:v>1.0308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Données!$AN$10</c:f>
              <c:numCache>
                <c:formatCode>General</c:formatCode>
                <c:ptCount val="1"/>
                <c:pt idx="0">
                  <c:v>1.0387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Données!$AO$10</c:f>
              <c:numCache>
                <c:formatCode>General</c:formatCode>
                <c:ptCount val="1"/>
                <c:pt idx="0">
                  <c:v>1.0817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Données!$AP$10</c:f>
              <c:numCache>
                <c:formatCode>General</c:formatCode>
                <c:ptCount val="1"/>
                <c:pt idx="0">
                  <c:v>1.1382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Données!$AQ$10</c:f>
              <c:numCache>
                <c:formatCode>General</c:formatCode>
                <c:ptCount val="1"/>
                <c:pt idx="0">
                  <c:v>1.1318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Données!$AR$10</c:f>
              <c:numCache>
                <c:formatCode>General</c:formatCode>
                <c:ptCount val="1"/>
                <c:pt idx="0">
                  <c:v>1.1283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Données!$AS$10</c:f>
              <c:numCache>
                <c:formatCode>General</c:formatCode>
                <c:ptCount val="1"/>
                <c:pt idx="0">
                  <c:v>1.105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Données!$AT$10</c:f>
              <c:numCache>
                <c:formatCode>General</c:formatCode>
                <c:ptCount val="1"/>
                <c:pt idx="0">
                  <c:v>1.0981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Données!$AU$10</c:f>
              <c:numCache>
                <c:formatCode>General</c:formatCode>
                <c:ptCount val="1"/>
                <c:pt idx="0">
                  <c:v>1.1037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Données!$AV$10</c:f>
              <c:numCache>
                <c:formatCode>General</c:formatCode>
                <c:ptCount val="1"/>
                <c:pt idx="0">
                  <c:v>1.0902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Données!$AW$10</c:f>
              <c:numCache>
                <c:formatCode>General</c:formatCode>
                <c:ptCount val="1"/>
                <c:pt idx="0">
                  <c:v>1.053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Données!$AX$10</c:f>
              <c:numCache>
                <c:formatCode>General</c:formatCode>
                <c:ptCount val="1"/>
                <c:pt idx="0">
                  <c:v>1.0352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Données!$AY$10</c:f>
              <c:numCache>
                <c:formatCode>General</c:formatCode>
                <c:ptCount val="1"/>
                <c:pt idx="0">
                  <c:v>1.0301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Données!$AZ$10</c:f>
              <c:numCache>
                <c:formatCode>General</c:formatCode>
                <c:ptCount val="1"/>
                <c:pt idx="0">
                  <c:v>1.0488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Données!$BA$10</c:f>
              <c:numCache>
                <c:formatCode>General</c:formatCode>
                <c:ptCount val="1"/>
                <c:pt idx="0">
                  <c:v>1.0838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Données!$BB$10</c:f>
              <c:numCache>
                <c:formatCode>General</c:formatCode>
                <c:ptCount val="1"/>
                <c:pt idx="0">
                  <c:v>1.1357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Données!$BC$10</c:f>
              <c:numCache>
                <c:formatCode>General</c:formatCode>
                <c:ptCount val="1"/>
                <c:pt idx="0">
                  <c:v>1.128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Données!$BJ$10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12441"/>
        <c:axId val="19187750"/>
      </c:lineChart>
      <c:catAx>
        <c:axId val="931124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87750"/>
        <c:crosses val="autoZero"/>
        <c:auto val="1"/>
        <c:lblAlgn val="ctr"/>
        <c:lblOffset val="100"/>
        <c:noMultiLvlLbl val="0"/>
      </c:catAx>
      <c:valAx>
        <c:axId val="19187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12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OAT 10 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"OAT 10 ans"</c:f>
              <c:strCache>
                <c:ptCount val="1"/>
                <c:pt idx="0">
                  <c:v>OAT 10 ans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Données!$C$11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Données!$D$11</c:f>
              <c:numCache>
                <c:formatCode>General</c:formatCode>
                <c:ptCount val="1"/>
                <c:pt idx="0">
                  <c:v>0.76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Données!$E$11</c:f>
              <c:numCache>
                <c:formatCode>General</c:formatCode>
                <c:ptCount val="1"/>
                <c:pt idx="0">
                  <c:v>0.96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Données!$F$11</c:f>
              <c:numCache>
                <c:formatCode>General</c:formatCode>
                <c:ptCount val="1"/>
                <c:pt idx="0">
                  <c:v>1.43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Données!$G$11</c:f>
              <c:numCache>
                <c:formatCode>General</c:formatCode>
                <c:ptCount val="1"/>
                <c:pt idx="0">
                  <c:v>1.63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Données!$H$11</c:f>
              <c:numCache>
                <c:formatCode>General</c:formatCode>
                <c:ptCount val="1"/>
                <c:pt idx="0">
                  <c:v>2.07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Données!$I$11</c:f>
              <c:numCache>
                <c:formatCode>General</c:formatCode>
                <c:ptCount val="1"/>
                <c:pt idx="0">
                  <c:v>1.65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Données!$J$11</c:f>
              <c:numCache>
                <c:formatCode>General</c:formatCode>
                <c:ptCount val="1"/>
                <c:pt idx="0">
                  <c:v>1.91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Données!$K$11</c:f>
              <c:numCache>
                <c:formatCode>General</c:formatCode>
                <c:ptCount val="1"/>
                <c:pt idx="0">
                  <c:v>2.74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Données!$L$11</c:f>
              <c:numCache>
                <c:formatCode>General</c:formatCode>
                <c:ptCount val="1"/>
                <c:pt idx="0">
                  <c:v>2.83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Données!$M$11</c:f>
              <c:numCache>
                <c:formatCode>General</c:formatCode>
                <c:ptCount val="1"/>
                <c:pt idx="0">
                  <c:v>2.52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Données!$N$11</c:f>
              <c:numCache>
                <c:formatCode>General</c:formatCode>
                <c:ptCount val="1"/>
                <c:pt idx="0">
                  <c:v>3.12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Données!$O$11</c:f>
              <c:numCache>
                <c:formatCode>General</c:formatCode>
                <c:ptCount val="1"/>
                <c:pt idx="0">
                  <c:v>2.87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Données!$P$11</c:f>
              <c:numCache>
                <c:formatCode>General</c:formatCode>
                <c:ptCount val="1"/>
                <c:pt idx="0">
                  <c:v>3.24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Données!$Q$11</c:f>
              <c:numCache>
                <c:formatCode>General</c:formatCode>
                <c:ptCount val="1"/>
                <c:pt idx="0">
                  <c:v>3.02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Données!$R$11</c:f>
              <c:numCache>
                <c:formatCode>General</c:formatCode>
                <c:ptCount val="1"/>
                <c:pt idx="0">
                  <c:v>3.01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Données!$S$11</c:f>
              <c:numCache>
                <c:formatCode>General</c:formatCode>
                <c:ptCount val="1"/>
                <c:pt idx="0">
                  <c:v>3.21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Données!$T$11</c:f>
              <c:numCache>
                <c:formatCode>General</c:formatCode>
                <c:ptCount val="1"/>
                <c:pt idx="0">
                  <c:v>3.43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Données!$U$11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Données!$V$11</c:f>
              <c:numCache>
                <c:formatCode>General</c:formatCode>
                <c:ptCount val="1"/>
                <c:pt idx="0">
                  <c:v>3.54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Données!$W$11</c:f>
              <c:numCache>
                <c:formatCode>General</c:formatCode>
                <c:ptCount val="1"/>
                <c:pt idx="0">
                  <c:v>3.85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Données!$X$11</c:f>
              <c:numCache>
                <c:formatCode>General</c:formatCode>
                <c:ptCount val="1"/>
                <c:pt idx="0">
                  <c:v>3.84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Données!$Y$11</c:f>
              <c:numCache>
                <c:formatCode>General</c:formatCode>
                <c:ptCount val="1"/>
                <c:pt idx="0">
                  <c:v>3.42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Données!$Z$11</c:f>
              <c:numCache>
                <c:formatCode>General</c:formatCode>
                <c:ptCount val="1"/>
                <c:pt idx="0">
                  <c:v>3.15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Données!$AA$11</c:f>
              <c:numCache>
                <c:formatCode>General</c:formatCode>
                <c:ptCount val="1"/>
                <c:pt idx="0">
                  <c:v>3.27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Données!$AB$11</c:f>
              <c:numCache>
                <c:formatCode>General</c:formatCode>
                <c:ptCount val="1"/>
                <c:pt idx="0">
                  <c:v>3.42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Données!$AC$11</c:f>
              <c:numCache>
                <c:formatCode>General</c:formatCode>
                <c:ptCount val="1"/>
                <c:pt idx="0">
                  <c:v>3.16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Données!$AD$11</c:f>
              <c:numCache>
                <c:formatCode>General</c:formatCode>
                <c:ptCount val="1"/>
                <c:pt idx="0">
                  <c:v>3.39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Données!$AE$11</c:f>
              <c:numCache>
                <c:formatCode>General</c:formatCode>
                <c:ptCount val="1"/>
                <c:pt idx="0">
                  <c:v>3.22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Données!$AF$11</c:f>
              <c:numCache>
                <c:formatCode>General</c:formatCode>
                <c:ptCount val="1"/>
                <c:pt idx="0">
                  <c:v>3.34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Données!$AG$11</c:f>
              <c:numCache>
                <c:formatCode>General</c:formatCode>
                <c:ptCount val="1"/>
                <c:pt idx="0">
                  <c:v>3.22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Données!$AH$11</c:f>
              <c:numCache>
                <c:formatCode>General</c:formatCode>
                <c:ptCount val="1"/>
                <c:pt idx="0">
                  <c:v>3.02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Données!$AJ$11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Données!$AK$11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Données!$AL$11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Données!$AM$11</c:f>
              <c:numCache>
                <c:formatCode>General</c:formatCode>
                <c:ptCount val="1"/>
                <c:pt idx="0">
                  <c:v>3.41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Données!$AN$11</c:f>
              <c:numCache>
                <c:formatCode>General</c:formatCode>
                <c:ptCount val="1"/>
                <c:pt idx="0">
                  <c:v>3.52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Données!$AP$11</c:f>
              <c:numCache>
                <c:formatCode>General</c:formatCode>
                <c:ptCount val="1"/>
                <c:pt idx="0">
                  <c:v>3.69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Données!$AQ$11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Données!$AR$11</c:f>
              <c:numCache>
                <c:formatCode>General</c:formatCode>
                <c:ptCount val="1"/>
                <c:pt idx="0">
                  <c:v>3.58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Données!$AS$11</c:f>
              <c:numCache>
                <c:formatCode>General</c:formatCode>
                <c:ptCount val="1"/>
                <c:pt idx="0">
                  <c:v>3.51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Données!$AT$11</c:f>
              <c:numCache>
                <c:formatCode>General</c:formatCode>
                <c:ptCount val="1"/>
                <c:pt idx="0">
                  <c:v>3.42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Données!$AU$11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Données!$AV$11</c:f>
              <c:numCache>
                <c:formatCode>General</c:formatCode>
                <c:ptCount val="1"/>
                <c:pt idx="0">
                  <c:v>3.32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Données!$AW$11</c:f>
              <c:numCache>
                <c:formatCode>General</c:formatCode>
                <c:ptCount val="1"/>
                <c:pt idx="0">
                  <c:v>3.28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Données!$AX$11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Données!$AY$11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Données!$AZ$11</c:f>
              <c:numCache>
                <c:formatCode>General</c:formatCode>
                <c:ptCount val="1"/>
                <c:pt idx="0">
                  <c:v>3.48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Données!$BA$11</c:f>
              <c:numCache>
                <c:formatCode>General</c:formatCode>
                <c:ptCount val="1"/>
                <c:pt idx="0">
                  <c:v>3.72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Données!$BB$11</c:f>
              <c:numCache>
                <c:formatCode>General</c:formatCode>
                <c:ptCount val="1"/>
                <c:pt idx="0">
                  <c:v>3.63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Données!$BC$11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Données!$BJ$11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241164"/>
        <c:axId val="60562746"/>
      </c:lineChart>
      <c:catAx>
        <c:axId val="452411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62746"/>
        <c:crosses val="autoZero"/>
        <c:auto val="1"/>
        <c:lblAlgn val="ctr"/>
        <c:lblOffset val="100"/>
        <c:noMultiLvlLbl val="0"/>
      </c:catAx>
      <c:valAx>
        <c:axId val="60562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11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Brent (USD/baril)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"Brent (USD/baril)"</c:f>
              <c:strCache>
                <c:ptCount val="1"/>
                <c:pt idx="0">
                  <c:v>Brent (USD/baril)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Données!$C$12</c:f>
              <c:numCache>
                <c:formatCode>General</c:formatCode>
                <c:ptCount val="1"/>
                <c:pt idx="0">
                  <c:v>91.2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Données!$D$12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Données!$E$12</c:f>
              <c:numCache>
                <c:formatCode>General</c:formatCode>
                <c:ptCount val="1"/>
                <c:pt idx="0">
                  <c:v>112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Données!$F$12</c:f>
              <c:numCache>
                <c:formatCode>General</c:formatCode>
                <c:ptCount val="1"/>
                <c:pt idx="0">
                  <c:v>107.5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Données!$G$12</c:f>
              <c:numCache>
                <c:formatCode>General</c:formatCode>
                <c:ptCount val="1"/>
                <c:pt idx="0">
                  <c:v>122.8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Données!$H$12</c:f>
              <c:numCache>
                <c:formatCode>General</c:formatCode>
                <c:ptCount val="1"/>
                <c:pt idx="0">
                  <c:v>114.7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Données!$I$12</c:f>
              <c:numCache>
                <c:formatCode>General</c:formatCode>
                <c:ptCount val="1"/>
                <c:pt idx="0">
                  <c:v>105.8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Données!$K$12</c:f>
              <c:numCache>
                <c:formatCode>General</c:formatCode>
                <c:ptCount val="1"/>
                <c:pt idx="0">
                  <c:v>88.5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Données!$L$12</c:f>
              <c:numCache>
                <c:formatCode>General</c:formatCode>
                <c:ptCount val="1"/>
                <c:pt idx="0">
                  <c:v>96.2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Données!$M$12</c:f>
              <c:numCache>
                <c:formatCode>General</c:formatCode>
                <c:ptCount val="1"/>
                <c:pt idx="0">
                  <c:v>85.4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Données!$N$12</c:f>
              <c:numCache>
                <c:formatCode>General</c:formatCode>
                <c:ptCount val="1"/>
                <c:pt idx="0">
                  <c:v>82.7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Données!$O$12</c:f>
              <c:numCache>
                <c:formatCode>General</c:formatCode>
                <c:ptCount val="1"/>
                <c:pt idx="0">
                  <c:v>84.9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Données!$P$12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Données!$Q$12</c:f>
              <c:numCache>
                <c:formatCode>General</c:formatCode>
                <c:ptCount val="1"/>
                <c:pt idx="0">
                  <c:v>79.8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Données!$R$12</c:f>
              <c:numCache>
                <c:formatCode>General</c:formatCode>
                <c:ptCount val="1"/>
                <c:pt idx="0">
                  <c:v>79.5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Données!$S$12</c:f>
              <c:numCache>
                <c:formatCode>General</c:formatCode>
                <c:ptCount val="1"/>
                <c:pt idx="0">
                  <c:v>74.3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Données!$T$12</c:f>
              <c:numCache>
                <c:formatCode>General</c:formatCode>
                <c:ptCount val="1"/>
                <c:pt idx="0">
                  <c:v>74.9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Données!$U$12</c:f>
              <c:numCache>
                <c:formatCode>General</c:formatCode>
                <c:ptCount val="1"/>
                <c:pt idx="0">
                  <c:v>85.6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Données!$V$12</c:f>
              <c:numCache>
                <c:formatCode>General</c:formatCode>
                <c:ptCount val="1"/>
                <c:pt idx="0">
                  <c:v>86.3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Données!$W$12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Données!$X$12</c:f>
              <c:numCache>
                <c:formatCode>General</c:formatCode>
                <c:ptCount val="1"/>
                <c:pt idx="0">
                  <c:v>87.3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Données!$Y$12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Données!$Z$12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Données!$AA$12</c:f>
              <c:numCache>
                <c:formatCode>General</c:formatCode>
                <c:ptCount val="1"/>
                <c:pt idx="0">
                  <c:v>82.4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Données!$AC$12</c:f>
              <c:numCache>
                <c:formatCode>General</c:formatCode>
                <c:ptCount val="1"/>
                <c:pt idx="0">
                  <c:v>87.5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Données!$AD$12</c:f>
              <c:numCache>
                <c:formatCode>General</c:formatCode>
                <c:ptCount val="1"/>
                <c:pt idx="0">
                  <c:v>88.4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Données!$AE$12</c:f>
              <c:numCache>
                <c:formatCode>General</c:formatCode>
                <c:ptCount val="1"/>
                <c:pt idx="0">
                  <c:v>82.5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Données!$AF$12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Données!$AG$12</c:f>
              <c:numCache>
                <c:formatCode>General</c:formatCode>
                <c:ptCount val="1"/>
                <c:pt idx="0">
                  <c:v>80.7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Données!$AH$12</c:f>
              <c:numCache>
                <c:formatCode>General</c:formatCode>
                <c:ptCount val="1"/>
                <c:pt idx="0">
                  <c:v>78.8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Données!$AI$12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Données!$AJ$12</c:f>
              <c:numCache>
                <c:formatCode>General</c:formatCode>
                <c:ptCount val="1"/>
                <c:pt idx="0">
                  <c:v>73.2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Données!$AK$12</c:f>
              <c:numCache>
                <c:formatCode>General</c:formatCode>
                <c:ptCount val="1"/>
                <c:pt idx="0">
                  <c:v>73.5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Données!$AL$12</c:f>
              <c:numCache>
                <c:formatCode>General</c:formatCode>
                <c:ptCount val="1"/>
                <c:pt idx="0">
                  <c:v>74.7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Données!$AM$12</c:f>
              <c:numCache>
                <c:formatCode>General</c:formatCode>
                <c:ptCount val="1"/>
                <c:pt idx="0">
                  <c:v>76.8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Données!$AN$12</c:f>
              <c:numCache>
                <c:formatCode>General</c:formatCode>
                <c:ptCount val="1"/>
                <c:pt idx="0">
                  <c:v>74.5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Données!$AO$12</c:f>
              <c:numCache>
                <c:formatCode>General</c:formatCode>
                <c:ptCount val="1"/>
                <c:pt idx="0">
                  <c:v>73.5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Données!$AP$12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Données!$AQ$12</c:f>
              <c:numCache>
                <c:formatCode>General</c:formatCode>
                <c:ptCount val="1"/>
                <c:pt idx="0">
                  <c:v>61.2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Données!$AR$12</c:f>
              <c:numCache>
                <c:formatCode>General</c:formatCode>
                <c:ptCount val="1"/>
                <c:pt idx="0">
                  <c:v>67.8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Données!$AS$12</c:f>
              <c:numCache>
                <c:formatCode>General</c:formatCode>
                <c:ptCount val="1"/>
                <c:pt idx="0">
                  <c:v>78.5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Données!$AT$12</c:f>
              <c:numCache>
                <c:formatCode>General</c:formatCode>
                <c:ptCount val="1"/>
                <c:pt idx="0">
                  <c:v>75.6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Données!$AU$12</c:f>
              <c:numCache>
                <c:formatCode>General</c:formatCode>
                <c:ptCount val="1"/>
                <c:pt idx="0">
                  <c:v>71.2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Données!$AV$12</c:f>
              <c:numCache>
                <c:formatCode>General</c:formatCode>
                <c:ptCount val="1"/>
                <c:pt idx="0">
                  <c:v>73.4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Données!$AW$12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Données!$AX$12</c:f>
              <c:numCache>
                <c:formatCode>General</c:formatCode>
                <c:ptCount val="1"/>
                <c:pt idx="0">
                  <c:v>73.5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Données!$AY$12</c:f>
              <c:numCache>
                <c:formatCode>General</c:formatCode>
                <c:ptCount val="1"/>
                <c:pt idx="0">
                  <c:v>76.2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Données!$AZ$12</c:f>
              <c:numCache>
                <c:formatCode>General</c:formatCode>
                <c:ptCount val="1"/>
                <c:pt idx="0">
                  <c:v>74.4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Données!$BA$12</c:f>
              <c:numCache>
                <c:formatCode>General</c:formatCode>
                <c:ptCount val="1"/>
                <c:pt idx="0">
                  <c:v>72.1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Données!$BB$12</c:f>
              <c:numCache>
                <c:formatCode>General</c:formatCode>
                <c:ptCount val="1"/>
                <c:pt idx="0">
                  <c:v>69.5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Données!$BC$12</c:f>
              <c:numCache>
                <c:formatCode>General</c:formatCode>
                <c:ptCount val="1"/>
                <c:pt idx="0">
                  <c:v>68.3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Données!$BJ$12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98101"/>
        <c:axId val="62232571"/>
      </c:lineChart>
      <c:catAx>
        <c:axId val="9798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32571"/>
        <c:crosses val="autoZero"/>
        <c:auto val="1"/>
        <c:lblAlgn val="ctr"/>
        <c:lblOffset val="100"/>
        <c:noMultiLvlLbl val="0"/>
      </c:catAx>
      <c:valAx>
        <c:axId val="62232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8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SMIC horaire brut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"SMIC horaire brut"</c:f>
              <c:strCache>
                <c:ptCount val="1"/>
                <c:pt idx="0">
                  <c:v>SMIC horaire brut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Données!$C$15</c:f>
              <c:numCache>
                <c:formatCode>General</c:formatCode>
                <c:ptCount val="1"/>
                <c:pt idx="0">
                  <c:v>10.57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Données!$D$15</c:f>
              <c:numCache>
                <c:formatCode>General</c:formatCode>
                <c:ptCount val="1"/>
                <c:pt idx="0">
                  <c:v>10.57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Données!$E$15</c:f>
              <c:numCache>
                <c:formatCode>General</c:formatCode>
                <c:ptCount val="1"/>
                <c:pt idx="0">
                  <c:v>10.57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Données!$F$15</c:f>
              <c:numCache>
                <c:formatCode>General</c:formatCode>
                <c:ptCount val="1"/>
                <c:pt idx="0">
                  <c:v>10.57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Données!$G$15</c:f>
              <c:numCache>
                <c:formatCode>General</c:formatCode>
                <c:ptCount val="1"/>
                <c:pt idx="0">
                  <c:v>10.85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Données!$H$15</c:f>
              <c:numCache>
                <c:formatCode>General</c:formatCode>
                <c:ptCount val="1"/>
                <c:pt idx="0">
                  <c:v>10.85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Données!$I$15</c:f>
              <c:numCache>
                <c:formatCode>General</c:formatCode>
                <c:ptCount val="1"/>
                <c:pt idx="0">
                  <c:v>10.85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Données!$J$15</c:f>
              <c:numCache>
                <c:formatCode>General</c:formatCode>
                <c:ptCount val="1"/>
                <c:pt idx="0">
                  <c:v>10.85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Données!$K$15</c:f>
              <c:numCache>
                <c:formatCode>General</c:formatCode>
                <c:ptCount val="1"/>
                <c:pt idx="0">
                  <c:v>10.93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Données!$L$15</c:f>
              <c:numCache>
                <c:formatCode>General</c:formatCode>
                <c:ptCount val="1"/>
                <c:pt idx="0">
                  <c:v>10.93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Données!$M$15</c:f>
              <c:numCache>
                <c:formatCode>General</c:formatCode>
                <c:ptCount val="1"/>
                <c:pt idx="0">
                  <c:v>10.93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Données!$N$15</c:f>
              <c:numCache>
                <c:formatCode>General</c:formatCode>
                <c:ptCount val="1"/>
                <c:pt idx="0">
                  <c:v>10.93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Données!$O$15</c:f>
              <c:numCache>
                <c:formatCode>General</c:formatCode>
                <c:ptCount val="1"/>
                <c:pt idx="0">
                  <c:v>11.27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Données!$P$15</c:f>
              <c:numCache>
                <c:formatCode>General</c:formatCode>
                <c:ptCount val="1"/>
                <c:pt idx="0">
                  <c:v>11.27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Données!$Q$15</c:f>
              <c:numCache>
                <c:formatCode>General</c:formatCode>
                <c:ptCount val="1"/>
                <c:pt idx="0">
                  <c:v>11.27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Données!$R$15</c:f>
              <c:numCache>
                <c:formatCode>General</c:formatCode>
                <c:ptCount val="1"/>
                <c:pt idx="0">
                  <c:v>11.27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Données!$Z$15</c:f>
              <c:numCache>
                <c:formatCode>General</c:formatCode>
                <c:ptCount val="1"/>
                <c:pt idx="0">
                  <c:v>11.52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Données!$AJ$15</c:f>
              <c:numCache>
                <c:formatCode>General</c:formatCode>
                <c:ptCount val="1"/>
                <c:pt idx="0">
                  <c:v>11.65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Données!$BC$15</c:f>
              <c:numCache>
                <c:formatCode>General</c:formatCode>
                <c:ptCount val="1"/>
                <c:pt idx="0">
                  <c:v>11.88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Données!$BJ$15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793157"/>
        <c:axId val="39124941"/>
      </c:lineChart>
      <c:catAx>
        <c:axId val="237931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24941"/>
        <c:crosses val="autoZero"/>
        <c:auto val="1"/>
        <c:lblAlgn val="ctr"/>
        <c:lblOffset val="100"/>
        <c:noMultiLvlLbl val="0"/>
      </c:catAx>
      <c:valAx>
        <c:axId val="39124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93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directeur BCE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"Taux directeur BCE"</c:f>
              <c:strCache>
                <c:ptCount val="1"/>
                <c:pt idx="0">
                  <c:v>Taux directeur BCE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Données!$H$16</c:f>
              <c:numCache>
                <c:formatCode>General</c:formatCode>
                <c:ptCount val="1"/>
                <c:pt idx="0">
                  <c:v>-0.5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Données!$K$16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Données!$L$16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Données!$R$16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Données!$S$16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Données!$AH$16</c:f>
              <c:numCache>
                <c:formatCode>General</c:formatCode>
                <c:ptCount val="1"/>
                <c:pt idx="0">
                  <c:v>3.75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Données!$AJ$16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Données!$AM$16</c:f>
              <c:numCache>
                <c:formatCode>General</c:formatCode>
                <c:ptCount val="1"/>
                <c:pt idx="0">
                  <c:v>2.75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Données!$AN$16</c:f>
              <c:numCache>
                <c:formatCode>General</c:formatCode>
                <c:ptCount val="1"/>
                <c:pt idx="0">
                  <c:v>2.75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Données!$AP$16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Données!$AQ$16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Données!$AR$16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Données!$AU$16</c:f>
              <c:numCache>
                <c:formatCode>General</c:formatCode>
                <c:ptCount val="1"/>
                <c:pt idx="0">
                  <c:v>1.75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Données!$AV$16</c:f>
              <c:numCache>
                <c:formatCode>General</c:formatCode>
                <c:ptCount val="1"/>
                <c:pt idx="0">
                  <c:v>1.75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Données!$BB$16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Données!$BC$16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Données!$BJ$16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06390"/>
        <c:axId val="7140981"/>
      </c:lineChart>
      <c:catAx>
        <c:axId val="403063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0981"/>
        <c:crosses val="autoZero"/>
        <c:auto val="1"/>
        <c:lblAlgn val="ctr"/>
        <c:lblOffset val="100"/>
        <c:noMultiLvlLbl val="0"/>
      </c:catAx>
      <c:valAx>
        <c:axId val="7140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06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Inflation France (IPC)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"Inflation France (IPC)"</c:f>
              <c:strCache>
                <c:ptCount val="1"/>
                <c:pt idx="0">
                  <c:v>Inflation France (IPC)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Données!$C$17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Données!$D$17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Données!$E$17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Données!$F$17</c:f>
              <c:numCache>
                <c:formatCode>General</c:formatCode>
                <c:ptCount val="1"/>
                <c:pt idx="0">
                  <c:v>4.8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Données!$G$17</c:f>
              <c:numCache>
                <c:formatCode>General</c:formatCode>
                <c:ptCount val="1"/>
                <c:pt idx="0">
                  <c:v>5.2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Données!$H$17</c:f>
              <c:numCache>
                <c:formatCode>General</c:formatCode>
                <c:ptCount val="1"/>
                <c:pt idx="0">
                  <c:v>5.8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Données!$I$17</c:f>
              <c:numCache>
                <c:formatCode>General</c:formatCode>
                <c:ptCount val="1"/>
                <c:pt idx="0">
                  <c:v>6.1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Données!$J$17</c:f>
              <c:numCache>
                <c:formatCode>General</c:formatCode>
                <c:ptCount val="1"/>
                <c:pt idx="0">
                  <c:v>5.9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Données!$K$17</c:f>
              <c:numCache>
                <c:formatCode>General</c:formatCode>
                <c:ptCount val="1"/>
                <c:pt idx="0">
                  <c:v>5.6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Données!$L$17</c:f>
              <c:numCache>
                <c:formatCode>General</c:formatCode>
                <c:ptCount val="1"/>
                <c:pt idx="0">
                  <c:v>6.2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Données!$M$17</c:f>
              <c:numCache>
                <c:formatCode>General</c:formatCode>
                <c:ptCount val="1"/>
                <c:pt idx="0">
                  <c:v>6.2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Données!$N$17</c:f>
              <c:numCache>
                <c:formatCode>General</c:formatCode>
                <c:ptCount val="1"/>
                <c:pt idx="0">
                  <c:v>5.9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Données!$P$17</c:f>
              <c:numCache>
                <c:formatCode>General</c:formatCode>
                <c:ptCount val="1"/>
                <c:pt idx="0">
                  <c:v>6.2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Données!$Q$17</c:f>
              <c:numCache>
                <c:formatCode>General</c:formatCode>
                <c:ptCount val="1"/>
                <c:pt idx="0">
                  <c:v>5.6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Données!$R$17</c:f>
              <c:numCache>
                <c:formatCode>General</c:formatCode>
                <c:ptCount val="1"/>
                <c:pt idx="0">
                  <c:v>5.9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Données!$S$17</c:f>
              <c:numCache>
                <c:formatCode>General</c:formatCode>
                <c:ptCount val="1"/>
                <c:pt idx="0">
                  <c:v>5.1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Données!$T$17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Données!$U$17</c:f>
              <c:numCache>
                <c:formatCode>General</c:formatCode>
                <c:ptCount val="1"/>
                <c:pt idx="0">
                  <c:v>4.3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Données!$V$17</c:f>
              <c:numCache>
                <c:formatCode>General</c:formatCode>
                <c:ptCount val="1"/>
                <c:pt idx="0">
                  <c:v>4.9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Données!$W$17</c:f>
              <c:numCache>
                <c:formatCode>General</c:formatCode>
                <c:ptCount val="1"/>
                <c:pt idx="0">
                  <c:v>4.9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Données!$Y$17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Données!$Z$17</c:f>
              <c:numCache>
                <c:formatCode>General</c:formatCode>
                <c:ptCount val="1"/>
                <c:pt idx="0">
                  <c:v>3.7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Données!$AA$17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Données!$AC$17</c:f>
              <c:numCache>
                <c:formatCode>General</c:formatCode>
                <c:ptCount val="1"/>
                <c:pt idx="0">
                  <c:v>2.3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Données!$AD$17</c:f>
              <c:numCache>
                <c:formatCode>General</c:formatCode>
                <c:ptCount val="1"/>
                <c:pt idx="0">
                  <c:v>2.2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Données!$AE$17</c:f>
              <c:numCache>
                <c:formatCode>General</c:formatCode>
                <c:ptCount val="1"/>
                <c:pt idx="0">
                  <c:v>2.3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Données!$AF$17</c:f>
              <c:numCache>
                <c:formatCode>General</c:formatCode>
                <c:ptCount val="1"/>
                <c:pt idx="0">
                  <c:v>2.2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Données!$AG$17</c:f>
              <c:numCache>
                <c:formatCode>General</c:formatCode>
                <c:ptCount val="1"/>
                <c:pt idx="0">
                  <c:v>2.3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Données!$AH$17</c:f>
              <c:numCache>
                <c:formatCode>General</c:formatCode>
                <c:ptCount val="1"/>
                <c:pt idx="0">
                  <c:v>2.2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Données!$AI$17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Données!$AJ$17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Données!$AK$17</c:f>
              <c:numCache>
                <c:formatCode>General</c:formatCode>
                <c:ptCount val="1"/>
                <c:pt idx="0">
                  <c:v>1.3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Données!$AL$17</c:f>
              <c:numCache>
                <c:formatCode>General</c:formatCode>
                <c:ptCount val="1"/>
                <c:pt idx="0">
                  <c:v>1.3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Données!$AM$17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Données!$AN$17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Données!$AO$17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Données!$AP$17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Données!$AQ$17</c:f>
              <c:numCache>
                <c:formatCode>General</c:formatCode>
                <c:ptCount val="1"/>
                <c:pt idx="0">
                  <c:v>0.7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Données!$AT$17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Données!$AU$17</c:f>
              <c:numCache>
                <c:formatCode>General</c:formatCode>
                <c:ptCount val="1"/>
                <c:pt idx="0">
                  <c:v>1.1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Données!$AV$17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Données!$AX$17</c:f>
              <c:numCache>
                <c:formatCode>General</c:formatCode>
                <c:ptCount val="1"/>
                <c:pt idx="0">
                  <c:v>1.3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Données!$AY$17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Données!$AZ$17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Données!$BA$17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Données!$BB$17</c:f>
              <c:numCache>
                <c:formatCode>General</c:formatCode>
                <c:ptCount val="1"/>
                <c:pt idx="0">
                  <c:v>0.7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Données!$BJ$17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927772"/>
        <c:axId val="36441595"/>
      </c:lineChart>
      <c:catAx>
        <c:axId val="219277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41595"/>
        <c:crosses val="autoZero"/>
        <c:auto val="1"/>
        <c:lblAlgn val="ctr"/>
        <c:lblOffset val="100"/>
        <c:noMultiLvlLbl val="0"/>
      </c:catAx>
      <c:valAx>
        <c:axId val="36441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27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Chômage France (BIT)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"Chômage France (BIT)"</c:f>
              <c:strCache>
                <c:ptCount val="1"/>
                <c:pt idx="0">
                  <c:v>Chômage France (BIT)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Données!$L$18</c:f>
              <c:numCache>
                <c:formatCode>General</c:formatCode>
                <c:ptCount val="1"/>
                <c:pt idx="0">
                  <c:v>7.2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Données!$M$18</c:f>
              <c:numCache>
                <c:formatCode>General</c:formatCode>
                <c:ptCount val="1"/>
                <c:pt idx="0">
                  <c:v>7.2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Données!$N$18</c:f>
              <c:numCache>
                <c:formatCode>General</c:formatCode>
                <c:ptCount val="1"/>
                <c:pt idx="0">
                  <c:v>7.2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Données!$O$18</c:f>
              <c:numCache>
                <c:formatCode>General</c:formatCode>
                <c:ptCount val="1"/>
                <c:pt idx="0">
                  <c:v>7.1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Données!$P$18</c:f>
              <c:numCache>
                <c:formatCode>General</c:formatCode>
                <c:ptCount val="1"/>
                <c:pt idx="0">
                  <c:v>7.1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Données!$Q$18</c:f>
              <c:numCache>
                <c:formatCode>General</c:formatCode>
                <c:ptCount val="1"/>
                <c:pt idx="0">
                  <c:v>7.1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Données!$AU$18</c:f>
              <c:numCache>
                <c:formatCode>General</c:formatCode>
                <c:ptCount val="1"/>
                <c:pt idx="0">
                  <c:v>7.5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Données!$AX$18</c:f>
              <c:numCache>
                <c:formatCode>General</c:formatCode>
                <c:ptCount val="1"/>
                <c:pt idx="0">
                  <c:v>7.4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Données!$BC$18</c:f>
              <c:numCache>
                <c:formatCode>General</c:formatCode>
                <c:ptCount val="1"/>
                <c:pt idx="0">
                  <c:v>7.3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Données!$BJ$18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58142"/>
        <c:axId val="80240000"/>
      </c:lineChart>
      <c:catAx>
        <c:axId val="231581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40000"/>
        <c:crosses val="autoZero"/>
        <c:auto val="1"/>
        <c:lblAlgn val="ctr"/>
        <c:lblOffset val="100"/>
        <c:noMultiLvlLbl val="0"/>
      </c:catAx>
      <c:valAx>
        <c:axId val="80240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58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Navigo mensuel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"Pass Navigo mensuel"</c:f>
              <c:strCache>
                <c:ptCount val="1"/>
                <c:pt idx="0">
                  <c:v>Pass Navigo mensuel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Données!$N$19</c:f>
              <c:numCache>
                <c:formatCode>General</c:formatCode>
                <c:ptCount val="1"/>
                <c:pt idx="0">
                  <c:v>75.2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Données!$Z$19</c:f>
              <c:numCache>
                <c:formatCode>General</c:formatCode>
                <c:ptCount val="1"/>
                <c:pt idx="0">
                  <c:v>84.1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Données!$AL$19</c:f>
              <c:numCache>
                <c:formatCode>General</c:formatCode>
                <c:ptCount val="1"/>
                <c:pt idx="0">
                  <c:v>86.4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Données!$BC$19</c:f>
              <c:numCache>
                <c:formatCode>General</c:formatCode>
                <c:ptCount val="1"/>
                <c:pt idx="0">
                  <c:v>88.8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Données!$BI$19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Données!$BJ$19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925035"/>
        <c:axId val="4435658"/>
      </c:lineChart>
      <c:catAx>
        <c:axId val="769250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5658"/>
        <c:crosses val="autoZero"/>
        <c:auto val="1"/>
        <c:lblAlgn val="ctr"/>
        <c:lblOffset val="100"/>
        <c:noMultiLvlLbl val="0"/>
      </c:catAx>
      <c:valAx>
        <c:axId val="4435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25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Baguette — prix moyen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"Baguette — prix moyen"</c:f>
              <c:strCache>
                <c:ptCount val="1"/>
                <c:pt idx="0">
                  <c:v>Baguette — prix moyen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Données!$C$20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Données!$D$20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Données!$E$20</c:f>
              <c:numCache>
                <c:formatCode>General</c:formatCode>
                <c:ptCount val="1"/>
                <c:pt idx="0">
                  <c:v>0.93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Données!$F$20</c:f>
              <c:numCache>
                <c:formatCode>General</c:formatCode>
                <c:ptCount val="1"/>
                <c:pt idx="0">
                  <c:v>0.93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Données!$G$20</c:f>
              <c:numCache>
                <c:formatCode>General</c:formatCode>
                <c:ptCount val="1"/>
                <c:pt idx="0">
                  <c:v>0.95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Données!$H$20</c:f>
              <c:numCache>
                <c:formatCode>General</c:formatCode>
                <c:ptCount val="1"/>
                <c:pt idx="0">
                  <c:v>0.98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Données!$I$20</c:f>
              <c:numCache>
                <c:formatCode>General</c:formatCode>
                <c:ptCount val="1"/>
                <c:pt idx="0">
                  <c:v>0.99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Données!$J$20</c:f>
              <c:numCache>
                <c:formatCode>General</c:formatCode>
                <c:ptCount val="1"/>
                <c:pt idx="0">
                  <c:v>1.01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Données!$K$20</c:f>
              <c:numCache>
                <c:formatCode>General</c:formatCode>
                <c:ptCount val="1"/>
                <c:pt idx="0">
                  <c:v>1.05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Données!$L$20</c:f>
              <c:numCache>
                <c:formatCode>General</c:formatCode>
                <c:ptCount val="1"/>
                <c:pt idx="0">
                  <c:v>1.07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Données!$M$20</c:f>
              <c:numCache>
                <c:formatCode>General</c:formatCode>
                <c:ptCount val="1"/>
                <c:pt idx="0">
                  <c:v>1.09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Données!$N$20</c:f>
              <c:numCache>
                <c:formatCode>General</c:formatCode>
                <c:ptCount val="1"/>
                <c:pt idx="0">
                  <c:v>1.1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Données!$O$20</c:f>
              <c:numCache>
                <c:formatCode>General</c:formatCode>
                <c:ptCount val="1"/>
                <c:pt idx="0">
                  <c:v>1.13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Données!$P$20</c:f>
              <c:numCache>
                <c:formatCode>General</c:formatCode>
                <c:ptCount val="1"/>
                <c:pt idx="0">
                  <c:v>1.15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Données!$Q$20</c:f>
              <c:numCache>
                <c:formatCode>General</c:formatCode>
                <c:ptCount val="1"/>
                <c:pt idx="0">
                  <c:v>1.16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Données!$R$20</c:f>
              <c:numCache>
                <c:formatCode>General</c:formatCode>
                <c:ptCount val="1"/>
                <c:pt idx="0">
                  <c:v>1.17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Données!$S$20</c:f>
              <c:numCache>
                <c:formatCode>General</c:formatCode>
                <c:ptCount val="1"/>
                <c:pt idx="0">
                  <c:v>1.18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Données!$T$20</c:f>
              <c:numCache>
                <c:formatCode>General</c:formatCode>
                <c:ptCount val="1"/>
                <c:pt idx="0">
                  <c:v>1.18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Données!$U$20</c:f>
              <c:numCache>
                <c:formatCode>General</c:formatCode>
                <c:ptCount val="1"/>
                <c:pt idx="0">
                  <c:v>1.19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Données!$V$20</c:f>
              <c:numCache>
                <c:formatCode>General</c:formatCode>
                <c:ptCount val="1"/>
                <c:pt idx="0">
                  <c:v>1.19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Données!$W$20</c:f>
              <c:numCache>
                <c:formatCode>General</c:formatCode>
                <c:ptCount val="1"/>
                <c:pt idx="0">
                  <c:v>1.19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Données!$AD$20</c:f>
              <c:numCache>
                <c:formatCode>General</c:formatCode>
                <c:ptCount val="1"/>
                <c:pt idx="0">
                  <c:v>1.21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Données!$AE$20</c:f>
              <c:numCache>
                <c:formatCode>General</c:formatCode>
                <c:ptCount val="1"/>
                <c:pt idx="0">
                  <c:v>1.21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Données!$AF$20</c:f>
              <c:numCache>
                <c:formatCode>General</c:formatCode>
                <c:ptCount val="1"/>
                <c:pt idx="0">
                  <c:v>1.21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Données!$AL$20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Données!$AU$20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Données!$BA$20</c:f>
              <c:numCache>
                <c:formatCode>General</c:formatCode>
                <c:ptCount val="1"/>
                <c:pt idx="0">
                  <c:v>1.24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Données!$BB$20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Données!$BC$20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Données!$BJ$20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08116"/>
        <c:axId val="58851277"/>
      </c:lineChart>
      <c:catAx>
        <c:axId val="810081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51277"/>
        <c:crosses val="autoZero"/>
        <c:auto val="1"/>
        <c:lblAlgn val="ctr"/>
        <c:lblOffset val="100"/>
        <c:noMultiLvlLbl val="0"/>
      </c:catAx>
      <c:valAx>
        <c:axId val="58851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08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Déficit public / PIB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"Déficit public / PIB"</c:f>
              <c:strCache>
                <c:ptCount val="1"/>
                <c:pt idx="0">
                  <c:v>Déficit public / PIB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Données!$N$21</c:f>
              <c:numCache>
                <c:formatCode>General</c:formatCode>
                <c:ptCount val="1"/>
                <c:pt idx="0">
                  <c:v>-4.8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Données!$Z$21</c:f>
              <c:numCache>
                <c:formatCode>General</c:formatCode>
                <c:ptCount val="1"/>
                <c:pt idx="0">
                  <c:v>-5.5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Données!$AL$21</c:f>
              <c:numCache>
                <c:formatCode>General</c:formatCode>
                <c:ptCount val="1"/>
                <c:pt idx="0">
                  <c:v>-6.1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Données!$BC$21</c:f>
              <c:numCache>
                <c:formatCode>General</c:formatCode>
                <c:ptCount val="1"/>
                <c:pt idx="0">
                  <c:v>-5.8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Données!$BI$21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Données!$BJ$21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957267"/>
        <c:axId val="50438781"/>
      </c:lineChart>
      <c:catAx>
        <c:axId val="539572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8781"/>
        <c:crosses val="autoZero"/>
        <c:auto val="1"/>
        <c:lblAlgn val="ctr"/>
        <c:lblOffset val="100"/>
        <c:noMultiLvlLbl val="0"/>
      </c:catAx>
      <c:valAx>
        <c:axId val="50438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572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Confiance ménages INSEE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"Confiance ménages INSEE"</c:f>
              <c:strCache>
                <c:ptCount val="1"/>
                <c:pt idx="0">
                  <c:v>Confiance ménages INSEE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Données!$C$22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Données!$D$22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Données!$F$22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Données!$G$22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Données!$I$22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Données!$K$22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Données!$M$22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Données!$O$22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Données!$P$22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Données!$S$22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Données!$U$22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Données!$V$22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Données!$X$22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Données!$Y$22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Données!$Z$22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Données!$AA$22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Données!$AB$22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Données!$AI$22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Données!$AJ$22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Données!$AK$22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Données!$AL$22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Données!$AP$22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Données!$AV$22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Données!$AY$22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Données!$BA$22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Données!$BI$22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Données!$BJ$22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394686"/>
        <c:axId val="29244633"/>
      </c:lineChart>
      <c:catAx>
        <c:axId val="60394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44633"/>
        <c:crosses val="autoZero"/>
        <c:auto val="1"/>
        <c:lblAlgn val="ctr"/>
        <c:lblOffset val="100"/>
        <c:noMultiLvlLbl val="0"/>
      </c:catAx>
      <c:valAx>
        <c:axId val="29244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94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ICC — Coût Construction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"ICC — Coût Construction"</c:f>
              <c:strCache>
                <c:ptCount val="1"/>
                <c:pt idx="0">
                  <c:v>ICC — Coût Construction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Données!$C$25</c:f>
              <c:numCache>
                <c:formatCode>General</c:formatCode>
                <c:ptCount val="1"/>
                <c:pt idx="0">
                  <c:v>1948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Données!$D$25</c:f>
              <c:numCache>
                <c:formatCode>General</c:formatCode>
                <c:ptCount val="1"/>
                <c:pt idx="0">
                  <c:v>1948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Données!$E$25</c:f>
              <c:numCache>
                <c:formatCode>General</c:formatCode>
                <c:ptCount val="1"/>
                <c:pt idx="0">
                  <c:v>1948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Données!$F$25</c:f>
              <c:numCache>
                <c:formatCode>General</c:formatCode>
                <c:ptCount val="1"/>
                <c:pt idx="0">
                  <c:v>1966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Données!$G$25</c:f>
              <c:numCache>
                <c:formatCode>General</c:formatCode>
                <c:ptCount val="1"/>
                <c:pt idx="0">
                  <c:v>1966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Données!$H$25</c:f>
              <c:numCache>
                <c:formatCode>General</c:formatCode>
                <c:ptCount val="1"/>
                <c:pt idx="0">
                  <c:v>1966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Données!$I$25</c:f>
              <c:numCache>
                <c:formatCode>General</c:formatCode>
                <c:ptCount val="1"/>
                <c:pt idx="0">
                  <c:v>2037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Données!$J$25</c:f>
              <c:numCache>
                <c:formatCode>General</c:formatCode>
                <c:ptCount val="1"/>
                <c:pt idx="0">
                  <c:v>2037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Données!$K$25</c:f>
              <c:numCache>
                <c:formatCode>General</c:formatCode>
                <c:ptCount val="1"/>
                <c:pt idx="0">
                  <c:v>2037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Données!$L$25</c:f>
              <c:numCache>
                <c:formatCode>General</c:formatCode>
                <c:ptCount val="1"/>
                <c:pt idx="0">
                  <c:v>2052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Données!$M$25</c:f>
              <c:numCache>
                <c:formatCode>General</c:formatCode>
                <c:ptCount val="1"/>
                <c:pt idx="0">
                  <c:v>2052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Données!$N$25</c:f>
              <c:numCache>
                <c:formatCode>General</c:formatCode>
                <c:ptCount val="1"/>
                <c:pt idx="0">
                  <c:v>2052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Données!$O$25</c:f>
              <c:numCache>
                <c:formatCode>General</c:formatCode>
                <c:ptCount val="1"/>
                <c:pt idx="0">
                  <c:v>2077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Données!$P$25</c:f>
              <c:numCache>
                <c:formatCode>General</c:formatCode>
                <c:ptCount val="1"/>
                <c:pt idx="0">
                  <c:v>2077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Données!$Q$25</c:f>
              <c:numCache>
                <c:formatCode>General</c:formatCode>
                <c:ptCount val="1"/>
                <c:pt idx="0">
                  <c:v>2077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Données!$R$25</c:f>
              <c:numCache>
                <c:formatCode>General</c:formatCode>
                <c:ptCount val="1"/>
                <c:pt idx="0">
                  <c:v>2123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Données!$S$25</c:f>
              <c:numCache>
                <c:formatCode>General</c:formatCode>
                <c:ptCount val="1"/>
                <c:pt idx="0">
                  <c:v>2123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Données!$T$25</c:f>
              <c:numCache>
                <c:formatCode>General</c:formatCode>
                <c:ptCount val="1"/>
                <c:pt idx="0">
                  <c:v>2123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Données!$U$25</c:f>
              <c:numCache>
                <c:formatCode>General</c:formatCode>
                <c:ptCount val="1"/>
                <c:pt idx="0">
                  <c:v>2106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Données!$V$25</c:f>
              <c:numCache>
                <c:formatCode>General</c:formatCode>
                <c:ptCount val="1"/>
                <c:pt idx="0">
                  <c:v>2106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Données!$W$25</c:f>
              <c:numCache>
                <c:formatCode>General</c:formatCode>
                <c:ptCount val="1"/>
                <c:pt idx="0">
                  <c:v>2106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Données!$X$25</c:f>
              <c:numCache>
                <c:formatCode>General</c:formatCode>
                <c:ptCount val="1"/>
                <c:pt idx="0">
                  <c:v>2162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Données!$Y$25</c:f>
              <c:numCache>
                <c:formatCode>General</c:formatCode>
                <c:ptCount val="1"/>
                <c:pt idx="0">
                  <c:v>2162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Données!$Z$25</c:f>
              <c:numCache>
                <c:formatCode>General</c:formatCode>
                <c:ptCount val="1"/>
                <c:pt idx="0">
                  <c:v>2162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Données!$AA$25</c:f>
              <c:numCache>
                <c:formatCode>General</c:formatCode>
                <c:ptCount val="1"/>
                <c:pt idx="0">
                  <c:v>2227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Données!$AB$25</c:f>
              <c:numCache>
                <c:formatCode>General</c:formatCode>
                <c:ptCount val="1"/>
                <c:pt idx="0">
                  <c:v>2227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Données!$AC$25</c:f>
              <c:numCache>
                <c:formatCode>General</c:formatCode>
                <c:ptCount val="1"/>
                <c:pt idx="0">
                  <c:v>2227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Données!$AD$25</c:f>
              <c:numCache>
                <c:formatCode>General</c:formatCode>
                <c:ptCount val="1"/>
                <c:pt idx="0">
                  <c:v>2205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Données!$AE$25</c:f>
              <c:numCache>
                <c:formatCode>General</c:formatCode>
                <c:ptCount val="1"/>
                <c:pt idx="0">
                  <c:v>2205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Données!$AF$25</c:f>
              <c:numCache>
                <c:formatCode>General</c:formatCode>
                <c:ptCount val="1"/>
                <c:pt idx="0">
                  <c:v>2205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Données!$AG$25</c:f>
              <c:numCache>
                <c:formatCode>General</c:formatCode>
                <c:ptCount val="1"/>
                <c:pt idx="0">
                  <c:v>2143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Données!$AH$25</c:f>
              <c:numCache>
                <c:formatCode>General</c:formatCode>
                <c:ptCount val="1"/>
                <c:pt idx="0">
                  <c:v>2143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Données!$AI$25</c:f>
              <c:numCache>
                <c:formatCode>General</c:formatCode>
                <c:ptCount val="1"/>
                <c:pt idx="0">
                  <c:v>2143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Données!$AJ$25</c:f>
              <c:numCache>
                <c:formatCode>General</c:formatCode>
                <c:ptCount val="1"/>
                <c:pt idx="0">
                  <c:v>2108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Données!$AK$25</c:f>
              <c:numCache>
                <c:formatCode>General</c:formatCode>
                <c:ptCount val="1"/>
                <c:pt idx="0">
                  <c:v>2108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Données!$AL$25</c:f>
              <c:numCache>
                <c:formatCode>General</c:formatCode>
                <c:ptCount val="1"/>
                <c:pt idx="0">
                  <c:v>2108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Données!$AM$25</c:f>
              <c:numCache>
                <c:formatCode>General</c:formatCode>
                <c:ptCount val="1"/>
                <c:pt idx="0">
                  <c:v>2146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Données!$AN$25</c:f>
              <c:numCache>
                <c:formatCode>General</c:formatCode>
                <c:ptCount val="1"/>
                <c:pt idx="0">
                  <c:v>2146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Données!$AO$25</c:f>
              <c:numCache>
                <c:formatCode>General</c:formatCode>
                <c:ptCount val="1"/>
                <c:pt idx="0">
                  <c:v>2146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Données!$AP$25</c:f>
              <c:numCache>
                <c:formatCode>General</c:formatCode>
                <c:ptCount val="1"/>
                <c:pt idx="0">
                  <c:v>2086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Données!$AQ$25</c:f>
              <c:numCache>
                <c:formatCode>General</c:formatCode>
                <c:ptCount val="1"/>
                <c:pt idx="0">
                  <c:v>2086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Données!$AR$25</c:f>
              <c:numCache>
                <c:formatCode>General</c:formatCode>
                <c:ptCount val="1"/>
                <c:pt idx="0">
                  <c:v>2086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Données!$AS$25</c:f>
              <c:numCache>
                <c:formatCode>General</c:formatCode>
                <c:ptCount val="1"/>
                <c:pt idx="0">
                  <c:v>2056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Données!$AT$25</c:f>
              <c:numCache>
                <c:formatCode>General</c:formatCode>
                <c:ptCount val="1"/>
                <c:pt idx="0">
                  <c:v>2056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Données!$AU$25</c:f>
              <c:numCache>
                <c:formatCode>General</c:formatCode>
                <c:ptCount val="1"/>
                <c:pt idx="0">
                  <c:v>2056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Données!$BC$25</c:f>
              <c:numCache>
                <c:formatCode>General</c:formatCode>
                <c:ptCount val="1"/>
                <c:pt idx="0">
                  <c:v>2058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Données!$BI$25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Données!$BJ$25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11896"/>
        <c:axId val="82700447"/>
      </c:lineChart>
      <c:catAx>
        <c:axId val="64111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0447"/>
        <c:crosses val="autoZero"/>
        <c:auto val="1"/>
        <c:lblAlgn val="ctr"/>
        <c:lblOffset val="100"/>
        <c:noMultiLvlLbl val="0"/>
      </c:catAx>
      <c:valAx>
        <c:axId val="827004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1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ILC — Loyers Commerciaux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"ILC — Loyers Commerciaux"</c:f>
              <c:strCache>
                <c:ptCount val="1"/>
                <c:pt idx="0">
                  <c:v>ILC — Loyers Commerciaux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Données!$C$26</c:f>
              <c:numCache>
                <c:formatCode>General</c:formatCode>
                <c:ptCount val="1"/>
                <c:pt idx="0">
                  <c:v>120.61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Données!$D$26</c:f>
              <c:numCache>
                <c:formatCode>General</c:formatCode>
                <c:ptCount val="1"/>
                <c:pt idx="0">
                  <c:v>120.61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Données!$E$26</c:f>
              <c:numCache>
                <c:formatCode>General</c:formatCode>
                <c:ptCount val="1"/>
                <c:pt idx="0">
                  <c:v>120.61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Données!$F$26</c:f>
              <c:numCache>
                <c:formatCode>General</c:formatCode>
                <c:ptCount val="1"/>
                <c:pt idx="0">
                  <c:v>123.65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Données!$G$26</c:f>
              <c:numCache>
                <c:formatCode>General</c:formatCode>
                <c:ptCount val="1"/>
                <c:pt idx="0">
                  <c:v>123.65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Données!$H$26</c:f>
              <c:numCache>
                <c:formatCode>General</c:formatCode>
                <c:ptCount val="1"/>
                <c:pt idx="0">
                  <c:v>123.65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Données!$I$26</c:f>
              <c:numCache>
                <c:formatCode>General</c:formatCode>
                <c:ptCount val="1"/>
                <c:pt idx="0">
                  <c:v>126.13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Données!$J$26</c:f>
              <c:numCache>
                <c:formatCode>General</c:formatCode>
                <c:ptCount val="1"/>
                <c:pt idx="0">
                  <c:v>126.13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Données!$K$26</c:f>
              <c:numCache>
                <c:formatCode>General</c:formatCode>
                <c:ptCount val="1"/>
                <c:pt idx="0">
                  <c:v>126.13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Données!$L$26</c:f>
              <c:numCache>
                <c:formatCode>General</c:formatCode>
                <c:ptCount val="1"/>
                <c:pt idx="0">
                  <c:v>126.05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Données!$M$26</c:f>
              <c:numCache>
                <c:formatCode>General</c:formatCode>
                <c:ptCount val="1"/>
                <c:pt idx="0">
                  <c:v>126.05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Données!$N$26</c:f>
              <c:numCache>
                <c:formatCode>General</c:formatCode>
                <c:ptCount val="1"/>
                <c:pt idx="0">
                  <c:v>126.05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Données!$O$26</c:f>
              <c:numCache>
                <c:formatCode>General</c:formatCode>
                <c:ptCount val="1"/>
                <c:pt idx="0">
                  <c:v>128.68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Données!$P$26</c:f>
              <c:numCache>
                <c:formatCode>General</c:formatCode>
                <c:ptCount val="1"/>
                <c:pt idx="0">
                  <c:v>128.68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Données!$Q$26</c:f>
              <c:numCache>
                <c:formatCode>General</c:formatCode>
                <c:ptCount val="1"/>
                <c:pt idx="0">
                  <c:v>128.68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Données!$R$26</c:f>
              <c:numCache>
                <c:formatCode>General</c:formatCode>
                <c:ptCount val="1"/>
                <c:pt idx="0">
                  <c:v>131.81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Données!$S$26</c:f>
              <c:numCache>
                <c:formatCode>General</c:formatCode>
                <c:ptCount val="1"/>
                <c:pt idx="0">
                  <c:v>131.81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Données!$T$26</c:f>
              <c:numCache>
                <c:formatCode>General</c:formatCode>
                <c:ptCount val="1"/>
                <c:pt idx="0">
                  <c:v>131.81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Données!$U$26</c:f>
              <c:numCache>
                <c:formatCode>General</c:formatCode>
                <c:ptCount val="1"/>
                <c:pt idx="0">
                  <c:v>133.66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Données!$V$26</c:f>
              <c:numCache>
                <c:formatCode>General</c:formatCode>
                <c:ptCount val="1"/>
                <c:pt idx="0">
                  <c:v>133.66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Données!$W$26</c:f>
              <c:numCache>
                <c:formatCode>General</c:formatCode>
                <c:ptCount val="1"/>
                <c:pt idx="0">
                  <c:v>133.66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Données!$X$26</c:f>
              <c:numCache>
                <c:formatCode>General</c:formatCode>
                <c:ptCount val="1"/>
                <c:pt idx="0">
                  <c:v>132.63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Données!$Y$26</c:f>
              <c:numCache>
                <c:formatCode>General</c:formatCode>
                <c:ptCount val="1"/>
                <c:pt idx="0">
                  <c:v>132.63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Données!$Z$26</c:f>
              <c:numCache>
                <c:formatCode>General</c:formatCode>
                <c:ptCount val="1"/>
                <c:pt idx="0">
                  <c:v>132.63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Données!$AA$26</c:f>
              <c:numCache>
                <c:formatCode>General</c:formatCode>
                <c:ptCount val="1"/>
                <c:pt idx="0">
                  <c:v>134.58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Données!$AB$26</c:f>
              <c:numCache>
                <c:formatCode>General</c:formatCode>
                <c:ptCount val="1"/>
                <c:pt idx="0">
                  <c:v>134.58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Données!$AC$26</c:f>
              <c:numCache>
                <c:formatCode>General</c:formatCode>
                <c:ptCount val="1"/>
                <c:pt idx="0">
                  <c:v>134.58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Données!$AD$26</c:f>
              <c:numCache>
                <c:formatCode>General</c:formatCode>
                <c:ptCount val="1"/>
                <c:pt idx="0">
                  <c:v>136.72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Données!$AE$26</c:f>
              <c:numCache>
                <c:formatCode>General</c:formatCode>
                <c:ptCount val="1"/>
                <c:pt idx="0">
                  <c:v>136.72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Données!$AF$26</c:f>
              <c:numCache>
                <c:formatCode>General</c:formatCode>
                <c:ptCount val="1"/>
                <c:pt idx="0">
                  <c:v>136.72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Données!$AG$26</c:f>
              <c:numCache>
                <c:formatCode>General</c:formatCode>
                <c:ptCount val="1"/>
                <c:pt idx="0">
                  <c:v>137.71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Données!$AH$26</c:f>
              <c:numCache>
                <c:formatCode>General</c:formatCode>
                <c:ptCount val="1"/>
                <c:pt idx="0">
                  <c:v>137.71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Données!$AI$26</c:f>
              <c:numCache>
                <c:formatCode>General</c:formatCode>
                <c:ptCount val="1"/>
                <c:pt idx="0">
                  <c:v>137.71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Données!$AJ$26</c:f>
              <c:numCache>
                <c:formatCode>General</c:formatCode>
                <c:ptCount val="1"/>
                <c:pt idx="0">
                  <c:v>135.3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Données!$AK$26</c:f>
              <c:numCache>
                <c:formatCode>General</c:formatCode>
                <c:ptCount val="1"/>
                <c:pt idx="0">
                  <c:v>135.3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Données!$AL$26</c:f>
              <c:numCache>
                <c:formatCode>General</c:formatCode>
                <c:ptCount val="1"/>
                <c:pt idx="0">
                  <c:v>135.3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Données!$AM$26</c:f>
              <c:numCache>
                <c:formatCode>General</c:formatCode>
                <c:ptCount val="1"/>
                <c:pt idx="0">
                  <c:v>135.87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Données!$AN$26</c:f>
              <c:numCache>
                <c:formatCode>General</c:formatCode>
                <c:ptCount val="1"/>
                <c:pt idx="0">
                  <c:v>135.87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Données!$AO$26</c:f>
              <c:numCache>
                <c:formatCode>General</c:formatCode>
                <c:ptCount val="1"/>
                <c:pt idx="0">
                  <c:v>135.87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Données!$AP$26</c:f>
              <c:numCache>
                <c:formatCode>General</c:formatCode>
                <c:ptCount val="1"/>
                <c:pt idx="0">
                  <c:v>136.81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Données!$AQ$26</c:f>
              <c:numCache>
                <c:formatCode>General</c:formatCode>
                <c:ptCount val="1"/>
                <c:pt idx="0">
                  <c:v>136.81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Données!$AR$26</c:f>
              <c:numCache>
                <c:formatCode>General</c:formatCode>
                <c:ptCount val="1"/>
                <c:pt idx="0">
                  <c:v>136.81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Données!$AS$26</c:f>
              <c:numCache>
                <c:formatCode>General</c:formatCode>
                <c:ptCount val="1"/>
                <c:pt idx="0">
                  <c:v>137.09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Données!$AT$26</c:f>
              <c:numCache>
                <c:formatCode>General</c:formatCode>
                <c:ptCount val="1"/>
                <c:pt idx="0">
                  <c:v>137.09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Données!$AU$26</c:f>
              <c:numCache>
                <c:formatCode>General</c:formatCode>
                <c:ptCount val="1"/>
                <c:pt idx="0">
                  <c:v>137.09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Données!$BC$26</c:f>
              <c:numCache>
                <c:formatCode>General</c:formatCode>
                <c:ptCount val="1"/>
                <c:pt idx="0">
                  <c:v>134.62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Données!$BJ$26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394935"/>
        <c:axId val="70514809"/>
      </c:lineChart>
      <c:catAx>
        <c:axId val="69394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14809"/>
        <c:crosses val="autoZero"/>
        <c:auto val="1"/>
        <c:lblAlgn val="ctr"/>
        <c:lblOffset val="100"/>
        <c:noMultiLvlLbl val="0"/>
      </c:catAx>
      <c:valAx>
        <c:axId val="70514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49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ILAT — Act. Tertiaires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"ILAT — Act. Tertiaires"</c:f>
              <c:strCache>
                <c:ptCount val="1"/>
                <c:pt idx="0">
                  <c:v>ILAT — Act. Tertiaires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Données!$C$27</c:f>
              <c:numCache>
                <c:formatCode>General</c:formatCode>
                <c:ptCount val="1"/>
                <c:pt idx="0">
                  <c:v>120.73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Données!$D$27</c:f>
              <c:numCache>
                <c:formatCode>General</c:formatCode>
                <c:ptCount val="1"/>
                <c:pt idx="0">
                  <c:v>120.73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Données!$E$27</c:f>
              <c:numCache>
                <c:formatCode>General</c:formatCode>
                <c:ptCount val="1"/>
                <c:pt idx="0">
                  <c:v>120.73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Données!$F$27</c:f>
              <c:numCache>
                <c:formatCode>General</c:formatCode>
                <c:ptCount val="1"/>
                <c:pt idx="0">
                  <c:v>122.65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Données!$G$27</c:f>
              <c:numCache>
                <c:formatCode>General</c:formatCode>
                <c:ptCount val="1"/>
                <c:pt idx="0">
                  <c:v>122.65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Données!$H$27</c:f>
              <c:numCache>
                <c:formatCode>General</c:formatCode>
                <c:ptCount val="1"/>
                <c:pt idx="0">
                  <c:v>122.65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Données!$I$27</c:f>
              <c:numCache>
                <c:formatCode>General</c:formatCode>
                <c:ptCount val="1"/>
                <c:pt idx="0">
                  <c:v>124.53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Données!$J$27</c:f>
              <c:numCache>
                <c:formatCode>General</c:formatCode>
                <c:ptCount val="1"/>
                <c:pt idx="0">
                  <c:v>124.53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Données!$K$27</c:f>
              <c:numCache>
                <c:formatCode>General</c:formatCode>
                <c:ptCount val="1"/>
                <c:pt idx="0">
                  <c:v>124.53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Données!$L$27</c:f>
              <c:numCache>
                <c:formatCode>General</c:formatCode>
                <c:ptCount val="1"/>
                <c:pt idx="0">
                  <c:v>126.66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Données!$M$27</c:f>
              <c:numCache>
                <c:formatCode>General</c:formatCode>
                <c:ptCount val="1"/>
                <c:pt idx="0">
                  <c:v>126.66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Données!$N$27</c:f>
              <c:numCache>
                <c:formatCode>General</c:formatCode>
                <c:ptCount val="1"/>
                <c:pt idx="0">
                  <c:v>126.66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Données!$O$27</c:f>
              <c:numCache>
                <c:formatCode>General</c:formatCode>
                <c:ptCount val="1"/>
                <c:pt idx="0">
                  <c:v>128.59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Données!$P$27</c:f>
              <c:numCache>
                <c:formatCode>General</c:formatCode>
                <c:ptCount val="1"/>
                <c:pt idx="0">
                  <c:v>128.59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Données!$Q$27</c:f>
              <c:numCache>
                <c:formatCode>General</c:formatCode>
                <c:ptCount val="1"/>
                <c:pt idx="0">
                  <c:v>128.59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Données!$R$27</c:f>
              <c:numCache>
                <c:formatCode>General</c:formatCode>
                <c:ptCount val="1"/>
                <c:pt idx="0">
                  <c:v>130.64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Données!$S$27</c:f>
              <c:numCache>
                <c:formatCode>General</c:formatCode>
                <c:ptCount val="1"/>
                <c:pt idx="0">
                  <c:v>130.64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Données!$T$27</c:f>
              <c:numCache>
                <c:formatCode>General</c:formatCode>
                <c:ptCount val="1"/>
                <c:pt idx="0">
                  <c:v>130.64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Données!$U$27</c:f>
              <c:numCache>
                <c:formatCode>General</c:formatCode>
                <c:ptCount val="1"/>
                <c:pt idx="0">
                  <c:v>132.15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Données!$V$27</c:f>
              <c:numCache>
                <c:formatCode>General</c:formatCode>
                <c:ptCount val="1"/>
                <c:pt idx="0">
                  <c:v>132.15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Données!$W$27</c:f>
              <c:numCache>
                <c:formatCode>General</c:formatCode>
                <c:ptCount val="1"/>
                <c:pt idx="0">
                  <c:v>132.15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Données!$X$27</c:f>
              <c:numCache>
                <c:formatCode>General</c:formatCode>
                <c:ptCount val="1"/>
                <c:pt idx="0">
                  <c:v>133.69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Données!$Y$27</c:f>
              <c:numCache>
                <c:formatCode>General</c:formatCode>
                <c:ptCount val="1"/>
                <c:pt idx="0">
                  <c:v>133.69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Données!$Z$27</c:f>
              <c:numCache>
                <c:formatCode>General</c:formatCode>
                <c:ptCount val="1"/>
                <c:pt idx="0">
                  <c:v>133.69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Données!$AA$27</c:f>
              <c:numCache>
                <c:formatCode>General</c:formatCode>
                <c:ptCount val="1"/>
                <c:pt idx="0">
                  <c:v>135.13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Données!$AB$27</c:f>
              <c:numCache>
                <c:formatCode>General</c:formatCode>
                <c:ptCount val="1"/>
                <c:pt idx="0">
                  <c:v>135.13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Données!$AC$27</c:f>
              <c:numCache>
                <c:formatCode>General</c:formatCode>
                <c:ptCount val="1"/>
                <c:pt idx="0">
                  <c:v>135.13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Données!$AD$27</c:f>
              <c:numCache>
                <c:formatCode>General</c:formatCode>
                <c:ptCount val="1"/>
                <c:pt idx="0">
                  <c:v>136.45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Données!$AE$27</c:f>
              <c:numCache>
                <c:formatCode>General</c:formatCode>
                <c:ptCount val="1"/>
                <c:pt idx="0">
                  <c:v>136.45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Données!$AF$27</c:f>
              <c:numCache>
                <c:formatCode>General</c:formatCode>
                <c:ptCount val="1"/>
                <c:pt idx="0">
                  <c:v>136.45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Données!$AG$27</c:f>
              <c:numCache>
                <c:formatCode>General</c:formatCode>
                <c:ptCount val="1"/>
                <c:pt idx="0">
                  <c:v>137.12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Données!$AH$27</c:f>
              <c:numCache>
                <c:formatCode>General</c:formatCode>
                <c:ptCount val="1"/>
                <c:pt idx="0">
                  <c:v>137.12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Données!$AI$27</c:f>
              <c:numCache>
                <c:formatCode>General</c:formatCode>
                <c:ptCount val="1"/>
                <c:pt idx="0">
                  <c:v>137.12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Données!$AO$27</c:f>
              <c:numCache>
                <c:formatCode>General</c:formatCode>
                <c:ptCount val="1"/>
                <c:pt idx="0">
                  <c:v>137.29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Données!$AP$27</c:f>
              <c:numCache>
                <c:formatCode>General</c:formatCode>
                <c:ptCount val="1"/>
                <c:pt idx="0">
                  <c:v>137.15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Données!$AQ$27</c:f>
              <c:numCache>
                <c:formatCode>General</c:formatCode>
                <c:ptCount val="1"/>
                <c:pt idx="0">
                  <c:v>137.15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Données!$AR$27</c:f>
              <c:numCache>
                <c:formatCode>General</c:formatCode>
                <c:ptCount val="1"/>
                <c:pt idx="0">
                  <c:v>137.15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Données!$AS$27</c:f>
              <c:numCache>
                <c:formatCode>General</c:formatCode>
                <c:ptCount val="1"/>
                <c:pt idx="0">
                  <c:v>137.07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Données!$AT$27</c:f>
              <c:numCache>
                <c:formatCode>General</c:formatCode>
                <c:ptCount val="1"/>
                <c:pt idx="0">
                  <c:v>137.07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Données!$AU$27</c:f>
              <c:numCache>
                <c:formatCode>General</c:formatCode>
                <c:ptCount val="1"/>
                <c:pt idx="0">
                  <c:v>137.07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Données!$BC$27</c:f>
              <c:numCache>
                <c:formatCode>General</c:formatCode>
                <c:ptCount val="1"/>
                <c:pt idx="0">
                  <c:v>137.21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Données!$BJ$27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31347"/>
        <c:axId val="42954049"/>
      </c:lineChart>
      <c:catAx>
        <c:axId val="704313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54049"/>
        <c:crosses val="autoZero"/>
        <c:auto val="1"/>
        <c:lblAlgn val="ctr"/>
        <c:lblOffset val="100"/>
        <c:noMultiLvlLbl val="0"/>
      </c:catAx>
      <c:valAx>
        <c:axId val="42954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31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IRL — Réf. des Loyers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"IRL — Réf. des Loyers"</c:f>
              <c:strCache>
                <c:ptCount val="1"/>
                <c:pt idx="0">
                  <c:v>IRL — Réf. des Loyers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Données!$C$28</c:f>
              <c:numCache>
                <c:formatCode>General</c:formatCode>
                <c:ptCount val="1"/>
                <c:pt idx="0">
                  <c:v>133.93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Données!$D$28</c:f>
              <c:numCache>
                <c:formatCode>General</c:formatCode>
                <c:ptCount val="1"/>
                <c:pt idx="0">
                  <c:v>133.93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Données!$E$28</c:f>
              <c:numCache>
                <c:formatCode>General</c:formatCode>
                <c:ptCount val="1"/>
                <c:pt idx="0">
                  <c:v>133.93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Données!$F$28</c:f>
              <c:numCache>
                <c:formatCode>General</c:formatCode>
                <c:ptCount val="1"/>
                <c:pt idx="0">
                  <c:v>135.84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Données!$G$28</c:f>
              <c:numCache>
                <c:formatCode>General</c:formatCode>
                <c:ptCount val="1"/>
                <c:pt idx="0">
                  <c:v>135.84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Données!$H$28</c:f>
              <c:numCache>
                <c:formatCode>General</c:formatCode>
                <c:ptCount val="1"/>
                <c:pt idx="0">
                  <c:v>135.84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Données!$I$28</c:f>
              <c:numCache>
                <c:formatCode>General</c:formatCode>
                <c:ptCount val="1"/>
                <c:pt idx="0">
                  <c:v>137.93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Données!$J$28</c:f>
              <c:numCache>
                <c:formatCode>General</c:formatCode>
                <c:ptCount val="1"/>
                <c:pt idx="0">
                  <c:v>137.93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Données!$K$28</c:f>
              <c:numCache>
                <c:formatCode>General</c:formatCode>
                <c:ptCount val="1"/>
                <c:pt idx="0">
                  <c:v>137.93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Données!$L$28</c:f>
              <c:numCache>
                <c:formatCode>General</c:formatCode>
                <c:ptCount val="1"/>
                <c:pt idx="0">
                  <c:v>138.26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Données!$M$28</c:f>
              <c:numCache>
                <c:formatCode>General</c:formatCode>
                <c:ptCount val="1"/>
                <c:pt idx="0">
                  <c:v>138.26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Données!$N$28</c:f>
              <c:numCache>
                <c:formatCode>General</c:formatCode>
                <c:ptCount val="1"/>
                <c:pt idx="0">
                  <c:v>138.26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Données!$O$28</c:f>
              <c:numCache>
                <c:formatCode>General</c:formatCode>
                <c:ptCount val="1"/>
                <c:pt idx="0">
                  <c:v>140.59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Données!$P$28</c:f>
              <c:numCache>
                <c:formatCode>General</c:formatCode>
                <c:ptCount val="1"/>
                <c:pt idx="0">
                  <c:v>140.59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Données!$Q$28</c:f>
              <c:numCache>
                <c:formatCode>General</c:formatCode>
                <c:ptCount val="1"/>
                <c:pt idx="0">
                  <c:v>140.59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Données!$R$28</c:f>
              <c:numCache>
                <c:formatCode>General</c:formatCode>
                <c:ptCount val="1"/>
                <c:pt idx="0">
                  <c:v>142.07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Données!$S$28</c:f>
              <c:numCache>
                <c:formatCode>General</c:formatCode>
                <c:ptCount val="1"/>
                <c:pt idx="0">
                  <c:v>142.07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Données!$T$28</c:f>
              <c:numCache>
                <c:formatCode>General</c:formatCode>
                <c:ptCount val="1"/>
                <c:pt idx="0">
                  <c:v>142.07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Données!$U$28</c:f>
              <c:numCache>
                <c:formatCode>General</c:formatCode>
                <c:ptCount val="1"/>
                <c:pt idx="0">
                  <c:v>143.52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Données!$V$28</c:f>
              <c:numCache>
                <c:formatCode>General</c:formatCode>
                <c:ptCount val="1"/>
                <c:pt idx="0">
                  <c:v>143.52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Données!$W$28</c:f>
              <c:numCache>
                <c:formatCode>General</c:formatCode>
                <c:ptCount val="1"/>
                <c:pt idx="0">
                  <c:v>143.52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Données!$X$28</c:f>
              <c:numCache>
                <c:formatCode>General</c:formatCode>
                <c:ptCount val="1"/>
                <c:pt idx="0">
                  <c:v>141.48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Données!$Y$28</c:f>
              <c:numCache>
                <c:formatCode>General</c:formatCode>
                <c:ptCount val="1"/>
                <c:pt idx="0">
                  <c:v>141.48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Données!$Z$28</c:f>
              <c:numCache>
                <c:formatCode>General</c:formatCode>
                <c:ptCount val="1"/>
                <c:pt idx="0">
                  <c:v>141.48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Données!$AA$28</c:f>
              <c:numCache>
                <c:formatCode>General</c:formatCode>
                <c:ptCount val="1"/>
                <c:pt idx="0">
                  <c:v>142.08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Données!$AB$28</c:f>
              <c:numCache>
                <c:formatCode>General</c:formatCode>
                <c:ptCount val="1"/>
                <c:pt idx="0">
                  <c:v>142.08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Données!$AC$28</c:f>
              <c:numCache>
                <c:formatCode>General</c:formatCode>
                <c:ptCount val="1"/>
                <c:pt idx="0">
                  <c:v>142.08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Données!$AD$28</c:f>
              <c:numCache>
                <c:formatCode>General</c:formatCode>
                <c:ptCount val="1"/>
                <c:pt idx="0">
                  <c:v>143.54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Données!$AE$28</c:f>
              <c:numCache>
                <c:formatCode>General</c:formatCode>
                <c:ptCount val="1"/>
                <c:pt idx="0">
                  <c:v>143.54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Données!$AF$28</c:f>
              <c:numCache>
                <c:formatCode>General</c:formatCode>
                <c:ptCount val="1"/>
                <c:pt idx="0">
                  <c:v>143.54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Données!$AG$28</c:f>
              <c:numCache>
                <c:formatCode>General</c:formatCode>
                <c:ptCount val="1"/>
                <c:pt idx="0">
                  <c:v>144.51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Données!$AH$28</c:f>
              <c:numCache>
                <c:formatCode>General</c:formatCode>
                <c:ptCount val="1"/>
                <c:pt idx="0">
                  <c:v>144.51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Données!$AI$28</c:f>
              <c:numCache>
                <c:formatCode>General</c:formatCode>
                <c:ptCount val="1"/>
                <c:pt idx="0">
                  <c:v>144.51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Données!$AJ$28</c:f>
              <c:numCache>
                <c:formatCode>General</c:formatCode>
                <c:ptCount val="1"/>
                <c:pt idx="0">
                  <c:v>144.89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Données!$AK$28</c:f>
              <c:numCache>
                <c:formatCode>General</c:formatCode>
                <c:ptCount val="1"/>
                <c:pt idx="0">
                  <c:v>144.89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Données!$AL$28</c:f>
              <c:numCache>
                <c:formatCode>General</c:formatCode>
                <c:ptCount val="1"/>
                <c:pt idx="0">
                  <c:v>144.89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Données!$AM$28</c:f>
              <c:numCache>
                <c:formatCode>General</c:formatCode>
                <c:ptCount val="1"/>
                <c:pt idx="0">
                  <c:v>145.28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Données!$AN$28</c:f>
              <c:numCache>
                <c:formatCode>General</c:formatCode>
                <c:ptCount val="1"/>
                <c:pt idx="0">
                  <c:v>145.28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Données!$AO$28</c:f>
              <c:numCache>
                <c:formatCode>General</c:formatCode>
                <c:ptCount val="1"/>
                <c:pt idx="0">
                  <c:v>145.28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Données!$AP$28</c:f>
              <c:numCache>
                <c:formatCode>General</c:formatCode>
                <c:ptCount val="1"/>
                <c:pt idx="0">
                  <c:v>145.59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Données!$AQ$28</c:f>
              <c:numCache>
                <c:formatCode>General</c:formatCode>
                <c:ptCount val="1"/>
                <c:pt idx="0">
                  <c:v>145.59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Données!$AR$28</c:f>
              <c:numCache>
                <c:formatCode>General</c:formatCode>
                <c:ptCount val="1"/>
                <c:pt idx="0">
                  <c:v>145.59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Données!$AS$28</c:f>
              <c:numCache>
                <c:formatCode>General</c:formatCode>
                <c:ptCount val="1"/>
                <c:pt idx="0">
                  <c:v>145.62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Données!$AT$28</c:f>
              <c:numCache>
                <c:formatCode>General</c:formatCode>
                <c:ptCount val="1"/>
                <c:pt idx="0">
                  <c:v>145.62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Données!$AU$28</c:f>
              <c:numCache>
                <c:formatCode>General</c:formatCode>
                <c:ptCount val="1"/>
                <c:pt idx="0">
                  <c:v>145.62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Données!$BC$28</c:f>
              <c:numCache>
                <c:formatCode>General</c:formatCode>
                <c:ptCount val="1"/>
                <c:pt idx="0">
                  <c:v>145.4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Données!$BJ$28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614817"/>
        <c:axId val="17837253"/>
      </c:lineChart>
      <c:catAx>
        <c:axId val="18614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7253"/>
        <c:crosses val="autoZero"/>
        <c:auto val="1"/>
        <c:lblAlgn val="ctr"/>
        <c:lblOffset val="100"/>
        <c:noMultiLvlLbl val="0"/>
      </c:catAx>
      <c:valAx>
        <c:axId val="17837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14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crédit immo moyen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"Taux crédit immo moyen"</c:f>
              <c:strCache>
                <c:ptCount val="1"/>
                <c:pt idx="0">
                  <c:v>Taux crédit immo moyen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Données!$C$29</c:f>
              <c:numCache>
                <c:formatCode>General</c:formatCode>
                <c:ptCount val="1"/>
                <c:pt idx="0">
                  <c:v>1.06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Données!$D$29</c:f>
              <c:numCache>
                <c:formatCode>General</c:formatCode>
                <c:ptCount val="1"/>
                <c:pt idx="0">
                  <c:v>1.12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Données!$E$29</c:f>
              <c:numCache>
                <c:formatCode>General</c:formatCode>
                <c:ptCount val="1"/>
                <c:pt idx="0">
                  <c:v>1.27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Données!$F$29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Données!$G$29</c:f>
              <c:numCache>
                <c:formatCode>General</c:formatCode>
                <c:ptCount val="1"/>
                <c:pt idx="0">
                  <c:v>1.55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Données!$H$29</c:f>
              <c:numCache>
                <c:formatCode>General</c:formatCode>
                <c:ptCount val="1"/>
                <c:pt idx="0">
                  <c:v>1.71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Données!$I$29</c:f>
              <c:numCache>
                <c:formatCode>General</c:formatCode>
                <c:ptCount val="1"/>
                <c:pt idx="0">
                  <c:v>1.85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Données!$J$29</c:f>
              <c:numCache>
                <c:formatCode>General</c:formatCode>
                <c:ptCount val="1"/>
                <c:pt idx="0">
                  <c:v>1.97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Données!$K$29</c:f>
              <c:numCache>
                <c:formatCode>General</c:formatCode>
                <c:ptCount val="1"/>
                <c:pt idx="0">
                  <c:v>2.15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Données!$L$29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Données!$M$29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Données!$N$29</c:f>
              <c:numCache>
                <c:formatCode>General</c:formatCode>
                <c:ptCount val="1"/>
                <c:pt idx="0">
                  <c:v>2.75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Données!$O$29</c:f>
              <c:numCache>
                <c:formatCode>General</c:formatCode>
                <c:ptCount val="1"/>
                <c:pt idx="0">
                  <c:v>2.82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Données!$P$29</c:f>
              <c:numCache>
                <c:formatCode>General</c:formatCode>
                <c:ptCount val="1"/>
                <c:pt idx="0">
                  <c:v>2.97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Données!$Q$29</c:f>
              <c:numCache>
                <c:formatCode>General</c:formatCode>
                <c:ptCount val="1"/>
                <c:pt idx="0">
                  <c:v>3.04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Données!$R$29</c:f>
              <c:numCache>
                <c:formatCode>General</c:formatCode>
                <c:ptCount val="1"/>
                <c:pt idx="0">
                  <c:v>3.21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Données!$S$29</c:f>
              <c:numCache>
                <c:formatCode>General</c:formatCode>
                <c:ptCount val="1"/>
                <c:pt idx="0">
                  <c:v>3.45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Données!$T$29</c:f>
              <c:numCache>
                <c:formatCode>General</c:formatCode>
                <c:ptCount val="1"/>
                <c:pt idx="0">
                  <c:v>3.61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Données!$U$29</c:f>
              <c:numCache>
                <c:formatCode>General</c:formatCode>
                <c:ptCount val="1"/>
                <c:pt idx="0">
                  <c:v>3.82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Données!$V$29</c:f>
              <c:numCache>
                <c:formatCode>General</c:formatCode>
                <c:ptCount val="1"/>
                <c:pt idx="0">
                  <c:v>3.97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Données!$W$29</c:f>
              <c:numCache>
                <c:formatCode>General</c:formatCode>
                <c:ptCount val="1"/>
                <c:pt idx="0">
                  <c:v>4.05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Données!$X$29</c:f>
              <c:numCache>
                <c:formatCode>General</c:formatCode>
                <c:ptCount val="1"/>
                <c:pt idx="0">
                  <c:v>4.14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Données!$Y$29</c:f>
              <c:numCache>
                <c:formatCode>General</c:formatCode>
                <c:ptCount val="1"/>
                <c:pt idx="0">
                  <c:v>4.22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Données!$Z$29</c:f>
              <c:numCache>
                <c:formatCode>General</c:formatCode>
                <c:ptCount val="1"/>
                <c:pt idx="0">
                  <c:v>4.24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Données!$AA$29</c:f>
              <c:numCache>
                <c:formatCode>General</c:formatCode>
                <c:ptCount val="1"/>
                <c:pt idx="0">
                  <c:v>4.19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Données!$AB$29</c:f>
              <c:numCache>
                <c:formatCode>General</c:formatCode>
                <c:ptCount val="1"/>
                <c:pt idx="0">
                  <c:v>4.1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Données!$AC$29</c:f>
              <c:numCache>
                <c:formatCode>General</c:formatCode>
                <c:ptCount val="1"/>
                <c:pt idx="0">
                  <c:v>3.99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Données!$AD$29</c:f>
              <c:numCache>
                <c:formatCode>General</c:formatCode>
                <c:ptCount val="1"/>
                <c:pt idx="0">
                  <c:v>3.88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Données!$AE$29</c:f>
              <c:numCache>
                <c:formatCode>General</c:formatCode>
                <c:ptCount val="1"/>
                <c:pt idx="0">
                  <c:v>3.79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Données!$AF$29</c:f>
              <c:numCache>
                <c:formatCode>General</c:formatCode>
                <c:ptCount val="1"/>
                <c:pt idx="0">
                  <c:v>3.72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Données!$AG$29</c:f>
              <c:numCache>
                <c:formatCode>General</c:formatCode>
                <c:ptCount val="1"/>
                <c:pt idx="0">
                  <c:v>3.68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Données!$AH$29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Données!$AI$29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Données!$AJ$29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Données!$AK$29</c:f>
              <c:numCache>
                <c:formatCode>General</c:formatCode>
                <c:ptCount val="1"/>
                <c:pt idx="0">
                  <c:v>3.45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Données!$AL$29</c:f>
              <c:numCache>
                <c:formatCode>General</c:formatCode>
                <c:ptCount val="1"/>
                <c:pt idx="0">
                  <c:v>3.38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Données!$AM$29</c:f>
              <c:numCache>
                <c:formatCode>General</c:formatCode>
                <c:ptCount val="1"/>
                <c:pt idx="0">
                  <c:v>3.34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Données!$AN$29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Données!$AO$29</c:f>
              <c:numCache>
                <c:formatCode>General</c:formatCode>
                <c:ptCount val="1"/>
                <c:pt idx="0">
                  <c:v>3.28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Données!$AP$29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Données!$AQ$29</c:f>
              <c:numCache>
                <c:formatCode>General</c:formatCode>
                <c:ptCount val="1"/>
                <c:pt idx="0">
                  <c:v>3.22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Données!$AR$29</c:f>
              <c:numCache>
                <c:formatCode>General</c:formatCode>
                <c:ptCount val="1"/>
                <c:pt idx="0">
                  <c:v>3.18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Données!$AS$29</c:f>
              <c:numCache>
                <c:formatCode>General</c:formatCode>
                <c:ptCount val="1"/>
                <c:pt idx="0">
                  <c:v>3.12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Données!$AT$29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Données!$AU$29</c:f>
              <c:numCache>
                <c:formatCode>General</c:formatCode>
                <c:ptCount val="1"/>
                <c:pt idx="0">
                  <c:v>3.07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Données!$AV$29</c:f>
              <c:numCache>
                <c:formatCode>General</c:formatCode>
                <c:ptCount val="1"/>
                <c:pt idx="0">
                  <c:v>3.05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Données!$AW$29</c:f>
              <c:numCache>
                <c:formatCode>General</c:formatCode>
                <c:ptCount val="1"/>
                <c:pt idx="0">
                  <c:v>3.02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Données!$AY$29</c:f>
              <c:numCache>
                <c:formatCode>General</c:formatCode>
                <c:ptCount val="1"/>
                <c:pt idx="0">
                  <c:v>2.98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Données!$AZ$29</c:f>
              <c:numCache>
                <c:formatCode>General</c:formatCode>
                <c:ptCount val="1"/>
                <c:pt idx="0">
                  <c:v>2.95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Données!$BA$29</c:f>
              <c:numCache>
                <c:formatCode>General</c:formatCode>
                <c:ptCount val="1"/>
                <c:pt idx="0">
                  <c:v>2.92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Données!$BB$29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Données!$BC$29</c:f>
              <c:numCache>
                <c:formatCode>General</c:formatCode>
                <c:ptCount val="1"/>
                <c:pt idx="0">
                  <c:v>2.88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Données!$BI$29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Données!$BJ$29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42329"/>
        <c:axId val="62612640"/>
      </c:lineChart>
      <c:catAx>
        <c:axId val="336423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12640"/>
        <c:crosses val="autoZero"/>
        <c:auto val="1"/>
        <c:lblAlgn val="ctr"/>
        <c:lblOffset val="100"/>
        <c:noMultiLvlLbl val="0"/>
      </c:catAx>
      <c:valAx>
        <c:axId val="62612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42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Transactions (12 mois)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"Transactions (12 mois)"</c:f>
              <c:strCache>
                <c:ptCount val="1"/>
                <c:pt idx="0">
                  <c:v>Transactions (12 mois)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Données!$C$30</c:f>
              <c:numCache>
                <c:formatCode>General</c:formatCode>
                <c:ptCount val="1"/>
                <c:pt idx="0">
                  <c:v>1150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33331"/>
            </a:solidFill>
            <a:ln w="2844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Données!$D$30</c:f>
              <c:numCache>
                <c:formatCode>General</c:formatCode>
                <c:ptCount val="1"/>
                <c:pt idx="0">
                  <c:v>1140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98039"/>
            </a:solidFill>
            <a:ln w="28440">
              <a:solidFill>
                <a:srgbClr val="6980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Données!$E$30</c:f>
              <c:numCache>
                <c:formatCode>General</c:formatCode>
                <c:ptCount val="1"/>
                <c:pt idx="0">
                  <c:v>1130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6426d"/>
            </a:solidFill>
            <a:ln w="28440">
              <a:solidFill>
                <a:srgbClr val="56426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Données!$F$30</c:f>
              <c:numCache>
                <c:formatCode>General</c:formatCode>
                <c:ptCount val="1"/>
                <c:pt idx="0">
                  <c:v>1120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f7486"/>
            </a:solidFill>
            <a:ln w="28440">
              <a:solidFill>
                <a:srgbClr val="2f74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Données!$G$30</c:f>
              <c:numCache>
                <c:formatCode>General</c:formatCode>
                <c:ptCount val="1"/>
                <c:pt idx="0">
                  <c:v>1110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2844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Données!$H$30</c:f>
              <c:numCache>
                <c:formatCode>General</c:formatCode>
                <c:ptCount val="1"/>
                <c:pt idx="0">
                  <c:v>1090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2844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Données!$I$30</c:f>
              <c:numCache>
                <c:formatCode>General</c:formatCode>
                <c:ptCount val="1"/>
                <c:pt idx="0">
                  <c:v>1070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Données!$J$30</c:f>
              <c:numCache>
                <c:formatCode>General</c:formatCode>
                <c:ptCount val="1"/>
                <c:pt idx="0">
                  <c:v>1050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Données!$K$30</c:f>
              <c:numCache>
                <c:formatCode>General</c:formatCode>
                <c:ptCount val="1"/>
                <c:pt idx="0">
                  <c:v>1020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Données!$L$30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2844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Données!$M$30</c:f>
              <c:numCache>
                <c:formatCode>General</c:formatCode>
                <c:ptCount val="1"/>
                <c:pt idx="0">
                  <c:v>980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2844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Données!$N$30</c:f>
              <c:numCache>
                <c:formatCode>General</c:formatCode>
                <c:ptCount val="1"/>
                <c:pt idx="0">
                  <c:v>960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2844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Données!$O$30</c:f>
              <c:numCache>
                <c:formatCode>General</c:formatCode>
                <c:ptCount val="1"/>
                <c:pt idx="0">
                  <c:v>940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2844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Données!$P$30</c:f>
              <c:numCache>
                <c:formatCode>General</c:formatCode>
                <c:ptCount val="1"/>
                <c:pt idx="0">
                  <c:v>915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2844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Données!$Q$30</c:f>
              <c:numCache>
                <c:formatCode>General</c:formatCode>
                <c:ptCount val="1"/>
                <c:pt idx="0">
                  <c:v>895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2844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Données!$R$30</c:f>
              <c:numCache>
                <c:formatCode>General</c:formatCode>
                <c:ptCount val="1"/>
                <c:pt idx="0">
                  <c:v>870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2844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Données!$S$30</c:f>
              <c:numCache>
                <c:formatCode>General</c:formatCode>
                <c:ptCount val="1"/>
                <c:pt idx="0">
                  <c:v>850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2844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Données!$T$30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2844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Données!$U$30</c:f>
              <c:numCache>
                <c:formatCode>General</c:formatCode>
                <c:ptCount val="1"/>
                <c:pt idx="0">
                  <c:v>820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2844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Données!$V$30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2844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Données!$W$30</c:f>
              <c:numCache>
                <c:formatCode>General</c:formatCode>
                <c:ptCount val="1"/>
                <c:pt idx="0">
                  <c:v>790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2844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Données!$X$30</c:f>
              <c:numCache>
                <c:formatCode>General</c:formatCode>
                <c:ptCount val="1"/>
                <c:pt idx="0">
                  <c:v>780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2844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Données!$Y$30</c:f>
              <c:numCache>
                <c:formatCode>General</c:formatCode>
                <c:ptCount val="1"/>
                <c:pt idx="0">
                  <c:v>770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2844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Données!$Z$30</c:f>
              <c:numCache>
                <c:formatCode>General</c:formatCode>
                <c:ptCount val="1"/>
                <c:pt idx="0">
                  <c:v>760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2844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Données!$AA$30</c:f>
              <c:numCache>
                <c:formatCode>General</c:formatCode>
                <c:ptCount val="1"/>
                <c:pt idx="0">
                  <c:v>750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2844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Données!$AB$30</c:f>
              <c:numCache>
                <c:formatCode>General</c:formatCode>
                <c:ptCount val="1"/>
                <c:pt idx="0">
                  <c:v>740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2844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Données!$AC$30</c:f>
              <c:numCache>
                <c:formatCode>General</c:formatCode>
                <c:ptCount val="1"/>
                <c:pt idx="0">
                  <c:v>735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2844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Données!$AD$30</c:f>
              <c:numCache>
                <c:formatCode>General</c:formatCode>
                <c:ptCount val="1"/>
                <c:pt idx="0">
                  <c:v>730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2844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Données!$AE$30</c:f>
              <c:numCache>
                <c:formatCode>General</c:formatCode>
                <c:ptCount val="1"/>
                <c:pt idx="0">
                  <c:v>728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2844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Données!$AF$30</c:f>
              <c:numCache>
                <c:formatCode>General</c:formatCode>
                <c:ptCount val="1"/>
                <c:pt idx="0">
                  <c:v>730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2844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Données!$AG$30</c:f>
              <c:numCache>
                <c:formatCode>General</c:formatCode>
                <c:ptCount val="1"/>
                <c:pt idx="0">
                  <c:v>735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2844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Données!$AH$30</c:f>
              <c:numCache>
                <c:formatCode>General</c:formatCode>
                <c:ptCount val="1"/>
                <c:pt idx="0">
                  <c:v>740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2844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Données!$AI$30</c:f>
              <c:numCache>
                <c:formatCode>General</c:formatCode>
                <c:ptCount val="1"/>
                <c:pt idx="0">
                  <c:v>745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2844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Données!$AJ$30</c:f>
              <c:numCache>
                <c:formatCode>General</c:formatCode>
                <c:ptCount val="1"/>
                <c:pt idx="0">
                  <c:v>750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2844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Données!$AK$30</c:f>
              <c:numCache>
                <c:formatCode>General</c:formatCode>
                <c:ptCount val="1"/>
                <c:pt idx="0">
                  <c:v>755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2844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Données!$AL$30</c:f>
              <c:numCache>
                <c:formatCode>General</c:formatCode>
                <c:ptCount val="1"/>
                <c:pt idx="0">
                  <c:v>760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2844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Données!$AM$30</c:f>
              <c:numCache>
                <c:formatCode>General</c:formatCode>
                <c:ptCount val="1"/>
                <c:pt idx="0">
                  <c:v>762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2844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Données!$AN$30</c:f>
              <c:numCache>
                <c:formatCode>General</c:formatCode>
                <c:ptCount val="1"/>
                <c:pt idx="0">
                  <c:v>763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2844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Données!$AO$30</c:f>
              <c:numCache>
                <c:formatCode>General</c:formatCode>
                <c:ptCount val="1"/>
                <c:pt idx="0">
                  <c:v>762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2844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Données!$AP$30</c:f>
              <c:numCache>
                <c:formatCode>General</c:formatCode>
                <c:ptCount val="1"/>
                <c:pt idx="0">
                  <c:v>765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2844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Données!$AQ$30</c:f>
              <c:numCache>
                <c:formatCode>General</c:formatCode>
                <c:ptCount val="1"/>
                <c:pt idx="0">
                  <c:v>768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2844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Données!$AR$30</c:f>
              <c:numCache>
                <c:formatCode>General</c:formatCode>
                <c:ptCount val="1"/>
                <c:pt idx="0">
                  <c:v>775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2844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Données!$AS$30</c:f>
              <c:numCache>
                <c:formatCode>General</c:formatCode>
                <c:ptCount val="1"/>
                <c:pt idx="0">
                  <c:v>780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2844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Données!$AT$30</c:f>
              <c:numCache>
                <c:formatCode>General</c:formatCode>
                <c:ptCount val="1"/>
                <c:pt idx="0">
                  <c:v>785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2844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Données!$AU$30</c:f>
              <c:numCache>
                <c:formatCode>General</c:formatCode>
                <c:ptCount val="1"/>
                <c:pt idx="0">
                  <c:v>790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2844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Données!$AV$30</c:f>
              <c:numCache>
                <c:formatCode>General</c:formatCode>
                <c:ptCount val="1"/>
                <c:pt idx="0">
                  <c:v>795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2844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Données!$AW$30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2844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Données!$AX$30</c:f>
              <c:numCache>
                <c:formatCode>General</c:formatCode>
                <c:ptCount val="1"/>
                <c:pt idx="0">
                  <c:v>805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2844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Données!$AY$30</c:f>
              <c:numCache>
                <c:formatCode>General</c:formatCode>
                <c:ptCount val="1"/>
                <c:pt idx="0">
                  <c:v>810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2844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Données!$AZ$30</c:f>
              <c:numCache>
                <c:formatCode>General</c:formatCode>
                <c:ptCount val="1"/>
                <c:pt idx="0">
                  <c:v>815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2844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Données!$BA$30</c:f>
              <c:numCache>
                <c:formatCode>General</c:formatCode>
                <c:ptCount val="1"/>
                <c:pt idx="0">
                  <c:v>818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2844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Données!$BB$30</c:f>
              <c:numCache>
                <c:formatCode>General</c:formatCode>
                <c:ptCount val="1"/>
                <c:pt idx="0">
                  <c:v>820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2844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2844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2844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2844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2844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2844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2844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Données!$BI$30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2844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Données!$BJ$30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147764"/>
        <c:axId val="13855332"/>
      </c:lineChart>
      <c:catAx>
        <c:axId val="141477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55332"/>
        <c:crosses val="autoZero"/>
        <c:auto val="1"/>
        <c:lblAlgn val="ctr"/>
        <c:lblOffset val="100"/>
        <c:noMultiLvlLbl val="0"/>
      </c:catAx>
      <c:valAx>
        <c:axId val="13855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milliers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47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SMIC mensuel brut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"SMIC mensuel brut"</c:f>
              <c:strCache>
                <c:ptCount val="1"/>
                <c:pt idx="0">
                  <c:v>SMIC mensuel brut</c:v>
                </c:pt>
              </c:strCache>
            </c:strRef>
          </c:tx>
          <c:spPr>
            <a:solidFill>
              <a:srgbClr val="4caf82"/>
            </a:solidFill>
            <a:ln w="18000">
              <a:solidFill>
                <a:srgbClr val="4caf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Données!$C$36</c:f>
              <c:numCache>
                <c:formatCode>General</c:formatCode>
                <c:ptCount val="1"/>
                <c:pt idx="0">
                  <c:v>1603.15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Données!$D$36</c:f>
              <c:numCache>
                <c:formatCode>General</c:formatCode>
                <c:ptCount val="1"/>
                <c:pt idx="0">
                  <c:v>1603.15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Données!$E$36</c:f>
              <c:numCache>
                <c:formatCode>General</c:formatCode>
                <c:ptCount val="1"/>
                <c:pt idx="0">
                  <c:v>1603.15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Données!$F$36</c:f>
              <c:numCache>
                <c:formatCode>General</c:formatCode>
                <c:ptCount val="1"/>
                <c:pt idx="0">
                  <c:v>1603.15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Données!$G$36</c:f>
              <c:numCache>
                <c:formatCode>General</c:formatCode>
                <c:ptCount val="1"/>
                <c:pt idx="0">
                  <c:v>1645.62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Données!$H$36</c:f>
              <c:numCache>
                <c:formatCode>General</c:formatCode>
                <c:ptCount val="1"/>
                <c:pt idx="0">
                  <c:v>1645.62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Données!$I$36</c:f>
              <c:numCache>
                <c:formatCode>General</c:formatCode>
                <c:ptCount val="1"/>
                <c:pt idx="0">
                  <c:v>1645.62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Données!$J$36</c:f>
              <c:numCache>
                <c:formatCode>General</c:formatCode>
                <c:ptCount val="1"/>
                <c:pt idx="0">
                  <c:v>1645.62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Données!$K$36</c:f>
              <c:numCache>
                <c:formatCode>General</c:formatCode>
                <c:ptCount val="1"/>
                <c:pt idx="0">
                  <c:v>1657.75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Données!$L$36</c:f>
              <c:numCache>
                <c:formatCode>General</c:formatCode>
                <c:ptCount val="1"/>
                <c:pt idx="0">
                  <c:v>1657.75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Données!$M$36</c:f>
              <c:numCache>
                <c:formatCode>General</c:formatCode>
                <c:ptCount val="1"/>
                <c:pt idx="0">
                  <c:v>1657.75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Données!$N$36</c:f>
              <c:numCache>
                <c:formatCode>General</c:formatCode>
                <c:ptCount val="1"/>
                <c:pt idx="0">
                  <c:v>1657.75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Données!$O$36</c:f>
              <c:numCache>
                <c:formatCode>General</c:formatCode>
                <c:ptCount val="1"/>
                <c:pt idx="0">
                  <c:v>1709.32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Données!$P$36</c:f>
              <c:numCache>
                <c:formatCode>General</c:formatCode>
                <c:ptCount val="1"/>
                <c:pt idx="0">
                  <c:v>1709.32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Données!$Q$36</c:f>
              <c:numCache>
                <c:formatCode>General</c:formatCode>
                <c:ptCount val="1"/>
                <c:pt idx="0">
                  <c:v>1709.32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Données!$R$36</c:f>
              <c:numCache>
                <c:formatCode>General</c:formatCode>
                <c:ptCount val="1"/>
                <c:pt idx="0">
                  <c:v>1709.32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Données!$Z$36</c:f>
              <c:numCache>
                <c:formatCode>General</c:formatCode>
                <c:ptCount val="1"/>
                <c:pt idx="0">
                  <c:v>1747.24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Données!$AJ$36</c:f>
              <c:numCache>
                <c:formatCode>General</c:formatCode>
                <c:ptCount val="1"/>
                <c:pt idx="0">
                  <c:v>1766.96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Données!$BC$36</c:f>
              <c:numCache>
                <c:formatCode>General</c:formatCode>
                <c:ptCount val="1"/>
                <c:pt idx="0">
                  <c:v>1801.84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Données!$BI$36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Données!$BJ$36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371295"/>
        <c:axId val="5059442"/>
      </c:lineChart>
      <c:catAx>
        <c:axId val="57371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442"/>
        <c:crosses val="autoZero"/>
        <c:auto val="1"/>
        <c:lblAlgn val="ctr"/>
        <c:lblOffset val="100"/>
        <c:noMultiLvlLbl val="0"/>
      </c:catAx>
      <c:valAx>
        <c:axId val="5059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€/mois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12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Tarif EDF réglementé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"Tarif EDF réglementé"</c:f>
              <c:strCache>
                <c:ptCount val="1"/>
                <c:pt idx="0">
                  <c:v>Tarif EDF réglementé</c:v>
                </c:pt>
              </c:strCache>
            </c:strRef>
          </c:tx>
          <c:spPr>
            <a:solidFill>
              <a:srgbClr val="c8a96e"/>
            </a:solidFill>
            <a:ln w="18000">
              <a:solidFill>
                <a:srgbClr val="c8a9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Données!$I$37</c:f>
              <c:numCache>
                <c:formatCode>0.0000</c:formatCode>
                <c:ptCount val="1"/>
                <c:pt idx="0">
                  <c:v>0.174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Données!$U$37</c:f>
              <c:numCache>
                <c:formatCode>0.0000</c:formatCode>
                <c:ptCount val="1"/>
                <c:pt idx="0">
                  <c:v>0.1796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Données!$AB$37</c:f>
              <c:numCache>
                <c:formatCode>0.0000</c:formatCode>
                <c:ptCount val="1"/>
                <c:pt idx="0">
                  <c:v>0.2265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Données!$AH$37</c:f>
              <c:numCache>
                <c:formatCode>0.0000</c:formatCode>
                <c:ptCount val="1"/>
                <c:pt idx="0">
                  <c:v>0.2459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Données!$AI$37</c:f>
              <c:numCache>
                <c:formatCode>0.0000</c:formatCode>
                <c:ptCount val="1"/>
                <c:pt idx="0">
                  <c:v>0.2516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Données!$AJ$37</c:f>
              <c:numCache>
                <c:formatCode>0.0000</c:formatCode>
                <c:ptCount val="1"/>
                <c:pt idx="0">
                  <c:v>0.2516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Données!$AK$37</c:f>
              <c:numCache>
                <c:formatCode>0.0000</c:formatCode>
                <c:ptCount val="1"/>
                <c:pt idx="0">
                  <c:v>0.2516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Données!$AL$37</c:f>
              <c:numCache>
                <c:formatCode>0.0000</c:formatCode>
                <c:ptCount val="1"/>
                <c:pt idx="0">
                  <c:v>0.2516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Données!$AM$37</c:f>
              <c:numCache>
                <c:formatCode>0.0000</c:formatCode>
                <c:ptCount val="1"/>
                <c:pt idx="0">
                  <c:v>0.2516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Données!$BC$37</c:f>
              <c:numCache>
                <c:formatCode>0.0000</c:formatCode>
                <c:ptCount val="1"/>
                <c:pt idx="0">
                  <c:v>0.2645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Données!$BI$37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Données!$BJ$37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310809"/>
        <c:axId val="69931195"/>
      </c:lineChart>
      <c:catAx>
        <c:axId val="32310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31195"/>
        <c:crosses val="autoZero"/>
        <c:auto val="1"/>
        <c:lblAlgn val="ctr"/>
        <c:lblOffset val="100"/>
        <c:noMultiLvlLbl val="0"/>
      </c:catAx>
      <c:valAx>
        <c:axId val="699311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108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Gaz naturel CRE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"Gaz naturel CRE"</c:f>
              <c:strCache>
                <c:ptCount val="1"/>
                <c:pt idx="0">
                  <c:v>Gaz naturel CRE</c:v>
                </c:pt>
              </c:strCache>
            </c:strRef>
          </c:tx>
          <c:spPr>
            <a:solidFill>
              <a:srgbClr val="e05c5c"/>
            </a:solidFill>
            <a:ln w="18000">
              <a:solidFill>
                <a:srgbClr val="e05c5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Données!$C$38</c:f>
              <c:numCache>
                <c:formatCode>0.0</c:formatCode>
                <c:ptCount val="1"/>
                <c:pt idx="0">
                  <c:v>81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Données!$D$38</c:f>
              <c:numCache>
                <c:formatCode>0.0</c:formatCode>
                <c:ptCount val="1"/>
                <c:pt idx="0">
                  <c:v>90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Données!$E$38</c:f>
              <c:numCache>
                <c:formatCode>0.0</c:formatCode>
                <c:ptCount val="1"/>
                <c:pt idx="0">
                  <c:v>105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Données!$F$38</c:f>
              <c:numCache>
                <c:formatCode>0.0</c:formatCode>
                <c:ptCount val="1"/>
                <c:pt idx="0">
                  <c:v>108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Données!$G$38</c:f>
              <c:numCache>
                <c:formatCode>0.0</c:formatCode>
                <c:ptCount val="1"/>
                <c:pt idx="0">
                  <c:v>115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Données!$H$38</c:f>
              <c:numCache>
                <c:formatCode>0.0</c:formatCode>
                <c:ptCount val="1"/>
                <c:pt idx="0">
                  <c:v>118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Données!$I$38</c:f>
              <c:numCache>
                <c:formatCode>0.0</c:formatCode>
                <c:ptCount val="1"/>
                <c:pt idx="0">
                  <c:v>120.5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Données!$J$38</c:f>
              <c:numCache>
                <c:formatCode>0.0</c:formatCode>
                <c:ptCount val="1"/>
                <c:pt idx="0">
                  <c:v>154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Données!$K$38</c:f>
              <c:numCache>
                <c:formatCode>0.0</c:formatCode>
                <c:ptCount val="1"/>
                <c:pt idx="0">
                  <c:v>168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Données!$L$38</c:f>
              <c:numCache>
                <c:formatCode>0.0</c:formatCode>
                <c:ptCount val="1"/>
                <c:pt idx="0">
                  <c:v>130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Données!$M$38</c:f>
              <c:numCache>
                <c:formatCode>0.0</c:formatCode>
                <c:ptCount val="1"/>
                <c:pt idx="0">
                  <c:v>115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Données!$N$38</c:f>
              <c:numCache>
                <c:formatCode>0.0</c:formatCode>
                <c:ptCount val="1"/>
                <c:pt idx="0">
                  <c:v>104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Données!$O$38</c:f>
              <c:numCache>
                <c:formatCode>0.0</c:formatCode>
                <c:ptCount val="1"/>
                <c:pt idx="0">
                  <c:v>98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Données!$P$38</c:f>
              <c:numCache>
                <c:formatCode>0.0</c:formatCode>
                <c:ptCount val="1"/>
                <c:pt idx="0">
                  <c:v>92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Données!$Q$38</c:f>
              <c:numCache>
                <c:formatCode>0.0</c:formatCode>
                <c:ptCount val="1"/>
                <c:pt idx="0">
                  <c:v>85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Données!$R$38</c:f>
              <c:numCache>
                <c:formatCode>0.0</c:formatCode>
                <c:ptCount val="1"/>
                <c:pt idx="0">
                  <c:v>78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Données!$S$38</c:f>
              <c:numCache>
                <c:formatCode>0.0</c:formatCode>
                <c:ptCount val="1"/>
                <c:pt idx="0">
                  <c:v>72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Données!$T$38</c:f>
              <c:numCache>
                <c:formatCode>0.0</c:formatCode>
                <c:ptCount val="1"/>
                <c:pt idx="0">
                  <c:v>65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Données!$U$38</c:f>
              <c:numCache>
                <c:formatCode>0.0</c:formatCode>
                <c:ptCount val="1"/>
                <c:pt idx="0">
                  <c:v>57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Données!$V$38</c:f>
              <c:numCache>
                <c:formatCode>0.0</c:formatCode>
                <c:ptCount val="1"/>
                <c:pt idx="0">
                  <c:v>56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Données!$W$38</c:f>
              <c:numCache>
                <c:formatCode>0.0</c:formatCode>
                <c:ptCount val="1"/>
                <c:pt idx="0">
                  <c:v>54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Données!$X$38</c:f>
              <c:numCache>
                <c:formatCode>0.0</c:formatCode>
                <c:ptCount val="1"/>
                <c:pt idx="0">
                  <c:v>58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Données!$Y$38</c:f>
              <c:numCache>
                <c:formatCode>0.0</c:formatCode>
                <c:ptCount val="1"/>
                <c:pt idx="0">
                  <c:v>62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Données!$Z$38</c:f>
              <c:numCache>
                <c:formatCode>0.0</c:formatCode>
                <c:ptCount val="1"/>
                <c:pt idx="0">
                  <c:v>65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Données!$AA$38</c:f>
              <c:numCache>
                <c:formatCode>0.0</c:formatCode>
                <c:ptCount val="1"/>
                <c:pt idx="0">
                  <c:v>63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Données!$AB$38</c:f>
              <c:numCache>
                <c:formatCode>0.0</c:formatCode>
                <c:ptCount val="1"/>
                <c:pt idx="0">
                  <c:v>61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Données!$AC$38</c:f>
              <c:numCache>
                <c:formatCode>0.0</c:formatCode>
                <c:ptCount val="1"/>
                <c:pt idx="0">
                  <c:v>59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Données!$AD$38</c:f>
              <c:numCache>
                <c:formatCode>0.0</c:formatCode>
                <c:ptCount val="1"/>
                <c:pt idx="0">
                  <c:v>57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Données!$AE$38</c:f>
              <c:numCache>
                <c:formatCode>0.0</c:formatCode>
                <c:ptCount val="1"/>
                <c:pt idx="0">
                  <c:v>55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Données!$AF$38</c:f>
              <c:numCache>
                <c:formatCode>0.0</c:formatCode>
                <c:ptCount val="1"/>
                <c:pt idx="0">
                  <c:v>54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Données!$AG$38</c:f>
              <c:numCache>
                <c:formatCode>0.0</c:formatCode>
                <c:ptCount val="1"/>
                <c:pt idx="0">
                  <c:v>52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Données!$AH$38</c:f>
              <c:numCache>
                <c:formatCode>0.0</c:formatCode>
                <c:ptCount val="1"/>
                <c:pt idx="0">
                  <c:v>50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Données!$AI$38</c:f>
              <c:numCache>
                <c:formatCode>0.0</c:formatCode>
                <c:ptCount val="1"/>
                <c:pt idx="0">
                  <c:v>48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Données!$AJ$38</c:f>
              <c:numCache>
                <c:formatCode>0.0</c:formatCode>
                <c:ptCount val="1"/>
                <c:pt idx="0">
                  <c:v>49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Données!$AK$38</c:f>
              <c:numCache>
                <c:formatCode>0.0</c:formatCode>
                <c:ptCount val="1"/>
                <c:pt idx="0">
                  <c:v>52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Données!$AL$38</c:f>
              <c:numCache>
                <c:formatCode>0.0</c:formatCode>
                <c:ptCount val="1"/>
                <c:pt idx="0">
                  <c:v>54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Données!$AM$38</c:f>
              <c:numCache>
                <c:formatCode>0.0</c:formatCode>
                <c:ptCount val="1"/>
                <c:pt idx="0">
                  <c:v>57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Données!$AN$38</c:f>
              <c:numCache>
                <c:formatCode>0.0</c:formatCode>
                <c:ptCount val="1"/>
                <c:pt idx="0">
                  <c:v>62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Données!$AO$38</c:f>
              <c:numCache>
                <c:formatCode>0.0</c:formatCode>
                <c:ptCount val="1"/>
                <c:pt idx="0">
                  <c:v>65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Données!$AP$38</c:f>
              <c:numCache>
                <c:formatCode>0.0</c:formatCode>
                <c:ptCount val="1"/>
                <c:pt idx="0">
                  <c:v>63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Données!$AQ$38</c:f>
              <c:numCache>
                <c:formatCode>0.0</c:formatCode>
                <c:ptCount val="1"/>
                <c:pt idx="0">
                  <c:v>60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Données!$AR$38</c:f>
              <c:numCache>
                <c:formatCode>0.0</c:formatCode>
                <c:ptCount val="1"/>
                <c:pt idx="0">
                  <c:v>58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Données!$AS$38</c:f>
              <c:numCache>
                <c:formatCode>0.0</c:formatCode>
                <c:ptCount val="1"/>
                <c:pt idx="0">
                  <c:v>55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Données!$AT$38</c:f>
              <c:numCache>
                <c:formatCode>0.0</c:formatCode>
                <c:ptCount val="1"/>
                <c:pt idx="0">
                  <c:v>54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Données!$AU$38</c:f>
              <c:numCache>
                <c:formatCode>0.0</c:formatCode>
                <c:ptCount val="1"/>
                <c:pt idx="0">
                  <c:v>52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Données!$AV$38</c:f>
              <c:numCache>
                <c:formatCode>0.0</c:formatCode>
                <c:ptCount val="1"/>
                <c:pt idx="0">
                  <c:v>53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Données!$AW$38</c:f>
              <c:numCache>
                <c:formatCode>0.0</c:formatCode>
                <c:ptCount val="1"/>
                <c:pt idx="0">
                  <c:v>56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Données!$AX$38</c:f>
              <c:numCache>
                <c:formatCode>0.0</c:formatCode>
                <c:ptCount val="1"/>
                <c:pt idx="0">
                  <c:v>58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Données!$AY$38</c:f>
              <c:numCache>
                <c:formatCode>0.0</c:formatCode>
                <c:ptCount val="1"/>
                <c:pt idx="0">
                  <c:v>62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Données!$AZ$38</c:f>
              <c:numCache>
                <c:formatCode>0.0</c:formatCode>
                <c:ptCount val="1"/>
                <c:pt idx="0">
                  <c:v>64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Données!$BA$38</c:f>
              <c:numCache>
                <c:formatCode>0.0</c:formatCode>
                <c:ptCount val="1"/>
                <c:pt idx="0">
                  <c:v>63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Données!$BB$38</c:f>
              <c:numCache>
                <c:formatCode>0.0</c:formatCode>
                <c:ptCount val="1"/>
                <c:pt idx="0">
                  <c:v>61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Données!$BC$38</c:f>
              <c:numCache>
                <c:formatCode>0.0</c:formatCode>
                <c:ptCount val="1"/>
                <c:pt idx="0">
                  <c:v>60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Données!$BI$38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Données!$BJ$38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072835"/>
        <c:axId val="36854595"/>
      </c:lineChart>
      <c:catAx>
        <c:axId val="930728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4595"/>
        <c:crosses val="autoZero"/>
        <c:auto val="1"/>
        <c:lblAlgn val="ctr"/>
        <c:lblOffset val="100"/>
        <c:noMultiLvlLbl val="0"/>
      </c:catAx>
      <c:valAx>
        <c:axId val="368545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72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Livret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"Taux Livret A"</c:f>
              <c:strCache>
                <c:ptCount val="1"/>
                <c:pt idx="0">
                  <c:v>Taux Livret A</c:v>
                </c:pt>
              </c:strCache>
            </c:strRef>
          </c:tx>
          <c:spPr>
            <a:solidFill>
              <a:srgbClr val="5b8cf5"/>
            </a:solidFill>
            <a:ln w="18000">
              <a:solidFill>
                <a:srgbClr val="5b8cf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Données!$C$39</c:f>
              <c:numCache>
                <c:formatCode>0.00</c:formatCode>
                <c:ptCount val="1"/>
                <c:pt idx="0">
                  <c:v>0.5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Données!$D$39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Données!$E$39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Données!$F$39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Données!$G$39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Données!$H$39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Données!$I$39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Données!$J$39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Données!$K$39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Données!$L$39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Données!$M$39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Données!$N$39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Données!$O$39</c:f>
              <c:numCache>
                <c:formatCode>0.00</c:formatCode>
                <c:ptCount val="1"/>
                <c:pt idx="0">
                  <c:v>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Données!$P$39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Données!$Q$39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Données!$R$39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Données!$S$39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Données!$T$39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Données!$U$39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Données!$V$39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Données!$W$39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Données!$X$39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Données!$Y$39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Données!$Z$39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Données!$AA$39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Données!$AB$39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Données!$AC$39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Données!$AD$39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Données!$AE$39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Données!$AF$39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Données!$AG$39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Données!$AH$39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Données!$AI$39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Données!$AJ$39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Données!$AK$39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Données!$AL$39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Données!$AM$39</c:f>
              <c:numCache>
                <c:formatCode>0.00</c:formatCode>
                <c:ptCount val="1"/>
                <c:pt idx="0">
                  <c:v>3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Données!$AN$39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Données!$AO$39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Données!$AP$39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Données!$AQ$39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Données!$AR$39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Données!$AS$39</c:f>
              <c:numCache>
                <c:formatCode>0.00</c:formatCode>
                <c:ptCount val="1"/>
                <c:pt idx="0">
                  <c:v>2.4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Données!$AT$39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Données!$AU$39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Données!$AV$39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Données!$AW$39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Données!$AX$39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Données!$AY$39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Données!$AZ$39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Données!$BA$39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Données!$BB$39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Données!$BC$39</c:f>
              <c:numCache>
                <c:formatCode>0.00</c:formatCode>
                <c:ptCount val="1"/>
                <c:pt idx="0">
                  <c:v>1.7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Données!$BD$39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4"/>
          <c:order val="5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Données!$BE$39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5"/>
          <c:order val="5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Données!$BF$39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6"/>
          <c:order val="5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Données!$BG$39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7"/>
          <c:order val="5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Données!$BH$39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8"/>
          <c:order val="5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Données!$BI$39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9"/>
          <c:order val="5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Données!$C$3:$BJ$3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Aoû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Données!$BJ$39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377797"/>
        <c:axId val="24978473"/>
      </c:lineChart>
      <c:catAx>
        <c:axId val="16377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78473"/>
        <c:crosses val="autoZero"/>
        <c:auto val="1"/>
        <c:lblAlgn val="ctr"/>
        <c:lblOffset val="100"/>
        <c:noMultiLvlLbl val="0"/>
      </c:catAx>
      <c:valAx>
        <c:axId val="249784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777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7</xdr:col>
      <xdr:colOff>331200</xdr:colOff>
      <xdr:row>20</xdr:row>
      <xdr:rowOff>190440</xdr:rowOff>
    </xdr:to>
    <xdr:graphicFrame>
      <xdr:nvGraphicFramePr>
        <xdr:cNvPr id="0" name="Chart 1"/>
        <xdr:cNvGraphicFramePr/>
      </xdr:nvGraphicFramePr>
      <xdr:xfrm>
        <a:off x="0" y="1143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16</xdr:col>
      <xdr:colOff>331200</xdr:colOff>
      <xdr:row>20</xdr:row>
      <xdr:rowOff>190440</xdr:rowOff>
    </xdr:to>
    <xdr:graphicFrame>
      <xdr:nvGraphicFramePr>
        <xdr:cNvPr id="1" name="Chart 2"/>
        <xdr:cNvGraphicFramePr/>
      </xdr:nvGraphicFramePr>
      <xdr:xfrm>
        <a:off x="6977880" y="1143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331200</xdr:colOff>
      <xdr:row>36</xdr:row>
      <xdr:rowOff>190800</xdr:rowOff>
    </xdr:to>
    <xdr:graphicFrame>
      <xdr:nvGraphicFramePr>
        <xdr:cNvPr id="2" name="Chart 3"/>
        <xdr:cNvGraphicFramePr/>
      </xdr:nvGraphicFramePr>
      <xdr:xfrm>
        <a:off x="0" y="4191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16</xdr:col>
      <xdr:colOff>331200</xdr:colOff>
      <xdr:row>36</xdr:row>
      <xdr:rowOff>190800</xdr:rowOff>
    </xdr:to>
    <xdr:graphicFrame>
      <xdr:nvGraphicFramePr>
        <xdr:cNvPr id="3" name="Chart 4"/>
        <xdr:cNvGraphicFramePr/>
      </xdr:nvGraphicFramePr>
      <xdr:xfrm>
        <a:off x="6977880" y="4191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7</xdr:col>
      <xdr:colOff>331200</xdr:colOff>
      <xdr:row>52</xdr:row>
      <xdr:rowOff>190440</xdr:rowOff>
    </xdr:to>
    <xdr:graphicFrame>
      <xdr:nvGraphicFramePr>
        <xdr:cNvPr id="4" name="Chart 5"/>
        <xdr:cNvGraphicFramePr/>
      </xdr:nvGraphicFramePr>
      <xdr:xfrm>
        <a:off x="0" y="7238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16</xdr:col>
      <xdr:colOff>331200</xdr:colOff>
      <xdr:row>52</xdr:row>
      <xdr:rowOff>190440</xdr:rowOff>
    </xdr:to>
    <xdr:graphicFrame>
      <xdr:nvGraphicFramePr>
        <xdr:cNvPr id="5" name="Chart 6"/>
        <xdr:cNvGraphicFramePr/>
      </xdr:nvGraphicFramePr>
      <xdr:xfrm>
        <a:off x="6977880" y="7238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7</xdr:col>
      <xdr:colOff>331200</xdr:colOff>
      <xdr:row>68</xdr:row>
      <xdr:rowOff>190440</xdr:rowOff>
    </xdr:to>
    <xdr:graphicFrame>
      <xdr:nvGraphicFramePr>
        <xdr:cNvPr id="6" name="Chart 7"/>
        <xdr:cNvGraphicFramePr/>
      </xdr:nvGraphicFramePr>
      <xdr:xfrm>
        <a:off x="0" y="10287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52</xdr:row>
      <xdr:rowOff>0</xdr:rowOff>
    </xdr:from>
    <xdr:to>
      <xdr:col>16</xdr:col>
      <xdr:colOff>331200</xdr:colOff>
      <xdr:row>68</xdr:row>
      <xdr:rowOff>190440</xdr:rowOff>
    </xdr:to>
    <xdr:graphicFrame>
      <xdr:nvGraphicFramePr>
        <xdr:cNvPr id="7" name="Chart 8"/>
        <xdr:cNvGraphicFramePr/>
      </xdr:nvGraphicFramePr>
      <xdr:xfrm>
        <a:off x="6977880" y="10287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7</xdr:col>
      <xdr:colOff>331200</xdr:colOff>
      <xdr:row>84</xdr:row>
      <xdr:rowOff>190800</xdr:rowOff>
    </xdr:to>
    <xdr:graphicFrame>
      <xdr:nvGraphicFramePr>
        <xdr:cNvPr id="8" name="Chart 9"/>
        <xdr:cNvGraphicFramePr/>
      </xdr:nvGraphicFramePr>
      <xdr:xfrm>
        <a:off x="0" y="13335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68</xdr:row>
      <xdr:rowOff>0</xdr:rowOff>
    </xdr:from>
    <xdr:to>
      <xdr:col>16</xdr:col>
      <xdr:colOff>331200</xdr:colOff>
      <xdr:row>84</xdr:row>
      <xdr:rowOff>190800</xdr:rowOff>
    </xdr:to>
    <xdr:graphicFrame>
      <xdr:nvGraphicFramePr>
        <xdr:cNvPr id="9" name="Chart 10"/>
        <xdr:cNvGraphicFramePr/>
      </xdr:nvGraphicFramePr>
      <xdr:xfrm>
        <a:off x="6977880" y="13335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331200</xdr:colOff>
      <xdr:row>100</xdr:row>
      <xdr:rowOff>190440</xdr:rowOff>
    </xdr:to>
    <xdr:graphicFrame>
      <xdr:nvGraphicFramePr>
        <xdr:cNvPr id="10" name="Chart 11"/>
        <xdr:cNvGraphicFramePr/>
      </xdr:nvGraphicFramePr>
      <xdr:xfrm>
        <a:off x="0" y="16382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84</xdr:row>
      <xdr:rowOff>0</xdr:rowOff>
    </xdr:from>
    <xdr:to>
      <xdr:col>16</xdr:col>
      <xdr:colOff>331200</xdr:colOff>
      <xdr:row>100</xdr:row>
      <xdr:rowOff>190440</xdr:rowOff>
    </xdr:to>
    <xdr:graphicFrame>
      <xdr:nvGraphicFramePr>
        <xdr:cNvPr id="11" name="Chart 12"/>
        <xdr:cNvGraphicFramePr/>
      </xdr:nvGraphicFramePr>
      <xdr:xfrm>
        <a:off x="6977880" y="16382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7</xdr:col>
      <xdr:colOff>331200</xdr:colOff>
      <xdr:row>116</xdr:row>
      <xdr:rowOff>190440</xdr:rowOff>
    </xdr:to>
    <xdr:graphicFrame>
      <xdr:nvGraphicFramePr>
        <xdr:cNvPr id="12" name="Chart 13"/>
        <xdr:cNvGraphicFramePr/>
      </xdr:nvGraphicFramePr>
      <xdr:xfrm>
        <a:off x="0" y="19431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100</xdr:row>
      <xdr:rowOff>0</xdr:rowOff>
    </xdr:from>
    <xdr:to>
      <xdr:col>16</xdr:col>
      <xdr:colOff>331200</xdr:colOff>
      <xdr:row>116</xdr:row>
      <xdr:rowOff>190440</xdr:rowOff>
    </xdr:to>
    <xdr:graphicFrame>
      <xdr:nvGraphicFramePr>
        <xdr:cNvPr id="13" name="Chart 14"/>
        <xdr:cNvGraphicFramePr/>
      </xdr:nvGraphicFramePr>
      <xdr:xfrm>
        <a:off x="6977880" y="19431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116</xdr:row>
      <xdr:rowOff>0</xdr:rowOff>
    </xdr:from>
    <xdr:to>
      <xdr:col>7</xdr:col>
      <xdr:colOff>331200</xdr:colOff>
      <xdr:row>132</xdr:row>
      <xdr:rowOff>190800</xdr:rowOff>
    </xdr:to>
    <xdr:graphicFrame>
      <xdr:nvGraphicFramePr>
        <xdr:cNvPr id="14" name="Chart 15"/>
        <xdr:cNvGraphicFramePr/>
      </xdr:nvGraphicFramePr>
      <xdr:xfrm>
        <a:off x="0" y="22479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9</xdr:col>
      <xdr:colOff>0</xdr:colOff>
      <xdr:row>116</xdr:row>
      <xdr:rowOff>0</xdr:rowOff>
    </xdr:from>
    <xdr:to>
      <xdr:col>16</xdr:col>
      <xdr:colOff>331200</xdr:colOff>
      <xdr:row>132</xdr:row>
      <xdr:rowOff>190800</xdr:rowOff>
    </xdr:to>
    <xdr:graphicFrame>
      <xdr:nvGraphicFramePr>
        <xdr:cNvPr id="15" name="Chart 16"/>
        <xdr:cNvGraphicFramePr/>
      </xdr:nvGraphicFramePr>
      <xdr:xfrm>
        <a:off x="6977880" y="22479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331200</xdr:colOff>
      <xdr:row>148</xdr:row>
      <xdr:rowOff>190440</xdr:rowOff>
    </xdr:to>
    <xdr:graphicFrame>
      <xdr:nvGraphicFramePr>
        <xdr:cNvPr id="16" name="Chart 17"/>
        <xdr:cNvGraphicFramePr/>
      </xdr:nvGraphicFramePr>
      <xdr:xfrm>
        <a:off x="0" y="25526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9</xdr:col>
      <xdr:colOff>0</xdr:colOff>
      <xdr:row>132</xdr:row>
      <xdr:rowOff>0</xdr:rowOff>
    </xdr:from>
    <xdr:to>
      <xdr:col>16</xdr:col>
      <xdr:colOff>331200</xdr:colOff>
      <xdr:row>148</xdr:row>
      <xdr:rowOff>190440</xdr:rowOff>
    </xdr:to>
    <xdr:graphicFrame>
      <xdr:nvGraphicFramePr>
        <xdr:cNvPr id="17" name="Chart 18"/>
        <xdr:cNvGraphicFramePr/>
      </xdr:nvGraphicFramePr>
      <xdr:xfrm>
        <a:off x="6977880" y="2552688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0</xdr:colOff>
      <xdr:row>148</xdr:row>
      <xdr:rowOff>0</xdr:rowOff>
    </xdr:from>
    <xdr:to>
      <xdr:col>7</xdr:col>
      <xdr:colOff>331200</xdr:colOff>
      <xdr:row>164</xdr:row>
      <xdr:rowOff>190440</xdr:rowOff>
    </xdr:to>
    <xdr:graphicFrame>
      <xdr:nvGraphicFramePr>
        <xdr:cNvPr id="18" name="Chart 19"/>
        <xdr:cNvGraphicFramePr/>
      </xdr:nvGraphicFramePr>
      <xdr:xfrm>
        <a:off x="0" y="28575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9</xdr:col>
      <xdr:colOff>0</xdr:colOff>
      <xdr:row>148</xdr:row>
      <xdr:rowOff>0</xdr:rowOff>
    </xdr:from>
    <xdr:to>
      <xdr:col>16</xdr:col>
      <xdr:colOff>331200</xdr:colOff>
      <xdr:row>164</xdr:row>
      <xdr:rowOff>190440</xdr:rowOff>
    </xdr:to>
    <xdr:graphicFrame>
      <xdr:nvGraphicFramePr>
        <xdr:cNvPr id="19" name="Chart 20"/>
        <xdr:cNvGraphicFramePr/>
      </xdr:nvGraphicFramePr>
      <xdr:xfrm>
        <a:off x="6977880" y="2857500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164</xdr:row>
      <xdr:rowOff>0</xdr:rowOff>
    </xdr:from>
    <xdr:to>
      <xdr:col>7</xdr:col>
      <xdr:colOff>331200</xdr:colOff>
      <xdr:row>180</xdr:row>
      <xdr:rowOff>190800</xdr:rowOff>
    </xdr:to>
    <xdr:graphicFrame>
      <xdr:nvGraphicFramePr>
        <xdr:cNvPr id="20" name="Chart 21"/>
        <xdr:cNvGraphicFramePr/>
      </xdr:nvGraphicFramePr>
      <xdr:xfrm>
        <a:off x="0" y="31623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9</xdr:col>
      <xdr:colOff>0</xdr:colOff>
      <xdr:row>164</xdr:row>
      <xdr:rowOff>0</xdr:rowOff>
    </xdr:from>
    <xdr:to>
      <xdr:col>16</xdr:col>
      <xdr:colOff>331200</xdr:colOff>
      <xdr:row>180</xdr:row>
      <xdr:rowOff>190800</xdr:rowOff>
    </xdr:to>
    <xdr:graphicFrame>
      <xdr:nvGraphicFramePr>
        <xdr:cNvPr id="21" name="Chart 22"/>
        <xdr:cNvGraphicFramePr/>
      </xdr:nvGraphicFramePr>
      <xdr:xfrm>
        <a:off x="6977880" y="31623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0</xdr:colOff>
      <xdr:row>180</xdr:row>
      <xdr:rowOff>0</xdr:rowOff>
    </xdr:from>
    <xdr:to>
      <xdr:col>7</xdr:col>
      <xdr:colOff>331920</xdr:colOff>
      <xdr:row>197</xdr:row>
      <xdr:rowOff>720</xdr:rowOff>
    </xdr:to>
    <xdr:graphicFrame>
      <xdr:nvGraphicFramePr>
        <xdr:cNvPr id="22" name="Chart 23"/>
        <xdr:cNvGraphicFramePr/>
      </xdr:nvGraphicFramePr>
      <xdr:xfrm>
        <a:off x="0" y="346708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9</xdr:col>
      <xdr:colOff>0</xdr:colOff>
      <xdr:row>180</xdr:row>
      <xdr:rowOff>0</xdr:rowOff>
    </xdr:from>
    <xdr:to>
      <xdr:col>16</xdr:col>
      <xdr:colOff>331920</xdr:colOff>
      <xdr:row>197</xdr:row>
      <xdr:rowOff>720</xdr:rowOff>
    </xdr:to>
    <xdr:graphicFrame>
      <xdr:nvGraphicFramePr>
        <xdr:cNvPr id="23" name="Chart 24"/>
        <xdr:cNvGraphicFramePr/>
      </xdr:nvGraphicFramePr>
      <xdr:xfrm>
        <a:off x="6977880" y="346708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331920</xdr:colOff>
      <xdr:row>213</xdr:row>
      <xdr:rowOff>720</xdr:rowOff>
    </xdr:to>
    <xdr:graphicFrame>
      <xdr:nvGraphicFramePr>
        <xdr:cNvPr id="24" name="Chart 25"/>
        <xdr:cNvGraphicFramePr/>
      </xdr:nvGraphicFramePr>
      <xdr:xfrm>
        <a:off x="0" y="37719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9</xdr:col>
      <xdr:colOff>0</xdr:colOff>
      <xdr:row>196</xdr:row>
      <xdr:rowOff>0</xdr:rowOff>
    </xdr:from>
    <xdr:to>
      <xdr:col>16</xdr:col>
      <xdr:colOff>331920</xdr:colOff>
      <xdr:row>213</xdr:row>
      <xdr:rowOff>720</xdr:rowOff>
    </xdr:to>
    <xdr:graphicFrame>
      <xdr:nvGraphicFramePr>
        <xdr:cNvPr id="25" name="Chart 26"/>
        <xdr:cNvGraphicFramePr/>
      </xdr:nvGraphicFramePr>
      <xdr:xfrm>
        <a:off x="6977880" y="37719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rvice-public.fr/particuliers/vosdroits/F2308" TargetMode="External"/><Relationship Id="rId2" Type="http://schemas.openxmlformats.org/officeDocument/2006/relationships/hyperlink" Target="https://www.cre.fr/Electricite/Marche-de-detail/Tarifs-reglementes" TargetMode="External"/><Relationship Id="rId3" Type="http://schemas.openxmlformats.org/officeDocument/2006/relationships/hyperlink" Target="https://www.cre.fr/Gaz/Marche-de-detail/Observatoire-des-prix" TargetMode="External"/><Relationship Id="rId4" Type="http://schemas.openxmlformats.org/officeDocument/2006/relationships/hyperlink" Target="https://www.banque-france.fr/fr/publications-et-statistiques/statistiques/taux-et-cours/taux-livret-a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inance.yahoo.com/quote/%5EFCHI/" TargetMode="External"/><Relationship Id="rId2" Type="http://schemas.openxmlformats.org/officeDocument/2006/relationships/hyperlink" Target="https://finance.yahoo.com/quote/%5ESTOXX50E/" TargetMode="External"/><Relationship Id="rId3" Type="http://schemas.openxmlformats.org/officeDocument/2006/relationships/hyperlink" Target="https://finance.yahoo.com/quote/%5EIXIC/" TargetMode="External"/><Relationship Id="rId4" Type="http://schemas.openxmlformats.org/officeDocument/2006/relationships/hyperlink" Target="https://finance.yahoo.com/quote/%5EDJI/" TargetMode="External"/><Relationship Id="rId5" Type="http://schemas.openxmlformats.org/officeDocument/2006/relationships/hyperlink" Target="https://finance.yahoo.com/quote/%5EVIX/" TargetMode="External"/><Relationship Id="rId6" Type="http://schemas.openxmlformats.org/officeDocument/2006/relationships/hyperlink" Target="https://finance.yahoo.com/quote/EURUSD=X/" TargetMode="External"/><Relationship Id="rId7" Type="http://schemas.openxmlformats.org/officeDocument/2006/relationships/hyperlink" Target="https://webstat.banque-france.fr/" TargetMode="External"/><Relationship Id="rId8" Type="http://schemas.openxmlformats.org/officeDocument/2006/relationships/hyperlink" Target="https://finance.yahoo.com/quote/BZ=F/" TargetMode="External"/><Relationship Id="rId9" Type="http://schemas.openxmlformats.org/officeDocument/2006/relationships/hyperlink" Target="https://www.service-public.fr/particuliers/vosdroits/F2308" TargetMode="External"/><Relationship Id="rId10" Type="http://schemas.openxmlformats.org/officeDocument/2006/relationships/hyperlink" Target="https://www.ecb.europa.eu/stats/policy_and_exchange_rates/key_ecb_interest_rates/" TargetMode="External"/><Relationship Id="rId11" Type="http://schemas.openxmlformats.org/officeDocument/2006/relationships/hyperlink" Target="https://www.insee.fr/fr/statistiques/serie/001759970" TargetMode="External"/><Relationship Id="rId12" Type="http://schemas.openxmlformats.org/officeDocument/2006/relationships/hyperlink" Target="https://www.insee.fr/fr/statistiques/serie/001688526" TargetMode="External"/><Relationship Id="rId13" Type="http://schemas.openxmlformats.org/officeDocument/2006/relationships/hyperlink" Target="https://www.iledefrance-mobilites.fr/" TargetMode="External"/><Relationship Id="rId14" Type="http://schemas.openxmlformats.org/officeDocument/2006/relationships/hyperlink" Target="https://www.boulangerie.org/" TargetMode="External"/><Relationship Id="rId15" Type="http://schemas.openxmlformats.org/officeDocument/2006/relationships/hyperlink" Target="https://ec.europa.eu/eurostat/databrowser/view/gov_10dd_edpt1/" TargetMode="External"/><Relationship Id="rId16" Type="http://schemas.openxmlformats.org/officeDocument/2006/relationships/hyperlink" Target="https://www.insee.fr/fr/statistiques/serie/001605612" TargetMode="External"/><Relationship Id="rId17" Type="http://schemas.openxmlformats.org/officeDocument/2006/relationships/hyperlink" Target="https://www.insee.fr/fr/statistiques/serie/000868550" TargetMode="External"/><Relationship Id="rId18" Type="http://schemas.openxmlformats.org/officeDocument/2006/relationships/hyperlink" Target="https://www.insee.fr/fr/statistiques/serie/001515769" TargetMode="External"/><Relationship Id="rId19" Type="http://schemas.openxmlformats.org/officeDocument/2006/relationships/hyperlink" Target="https://www.insee.fr/fr/statistiques/serie/001515770" TargetMode="External"/><Relationship Id="rId20" Type="http://schemas.openxmlformats.org/officeDocument/2006/relationships/hyperlink" Target="https://www.insee.fr/fr/statistiques/serie/001515766" TargetMode="External"/><Relationship Id="rId21" Type="http://schemas.openxmlformats.org/officeDocument/2006/relationships/hyperlink" Target="https://webstat.banque-france.fr/" TargetMode="External"/><Relationship Id="rId22" Type="http://schemas.openxmlformats.org/officeDocument/2006/relationships/hyperlink" Target="https://www.notaires.fr/fr/immobilier-succession/prix-et-tendances-de-limmobilier" TargetMode="External"/><Relationship Id="rId23" Type="http://schemas.openxmlformats.org/officeDocument/2006/relationships/hyperlink" Target="https://www.service-public.fr/particuliers/vosdroits/F2308" TargetMode="External"/><Relationship Id="rId24" Type="http://schemas.openxmlformats.org/officeDocument/2006/relationships/hyperlink" Target="https://www.cre.fr/Electricite/Marche-de-detail/Tarifs-reglementes" TargetMode="External"/><Relationship Id="rId25" Type="http://schemas.openxmlformats.org/officeDocument/2006/relationships/hyperlink" Target="https://www.cre.fr/Gaz/Marche-de-detail/Observatoire-des-prix" TargetMode="External"/><Relationship Id="rId26" Type="http://schemas.openxmlformats.org/officeDocument/2006/relationships/hyperlink" Target="https://www.banque-france.fr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inance.yahoo.com/quote/%5EFCHI/" TargetMode="External"/><Relationship Id="rId2" Type="http://schemas.openxmlformats.org/officeDocument/2006/relationships/hyperlink" Target="https://finance.yahoo.com/quote/%5ESTOXX50E/" TargetMode="External"/><Relationship Id="rId3" Type="http://schemas.openxmlformats.org/officeDocument/2006/relationships/hyperlink" Target="https://finance.yahoo.com/quote/%5EIXIC/" TargetMode="External"/><Relationship Id="rId4" Type="http://schemas.openxmlformats.org/officeDocument/2006/relationships/hyperlink" Target="https://finance.yahoo.com/quote/%5EDJI/" TargetMode="External"/><Relationship Id="rId5" Type="http://schemas.openxmlformats.org/officeDocument/2006/relationships/hyperlink" Target="https://finance.yahoo.com/quote/%5EVIX/" TargetMode="External"/><Relationship Id="rId6" Type="http://schemas.openxmlformats.org/officeDocument/2006/relationships/hyperlink" Target="https://finance.yahoo.com/quote/EURUSD=X/" TargetMode="External"/><Relationship Id="rId7" Type="http://schemas.openxmlformats.org/officeDocument/2006/relationships/hyperlink" Target="https://webstat.banque-france.fr/" TargetMode="External"/><Relationship Id="rId8" Type="http://schemas.openxmlformats.org/officeDocument/2006/relationships/hyperlink" Target="https://finance.yahoo.com/quote/BZ=F/" TargetMode="External"/><Relationship Id="rId9" Type="http://schemas.openxmlformats.org/officeDocument/2006/relationships/hyperlink" Target="https://www.service-public.fr/particuliers/vosdroits/F2308" TargetMode="External"/><Relationship Id="rId10" Type="http://schemas.openxmlformats.org/officeDocument/2006/relationships/hyperlink" Target="https://www.ecb.europa.eu/stats/policy_and_exchange_rates/key_ecb_interest_rates/" TargetMode="External"/><Relationship Id="rId11" Type="http://schemas.openxmlformats.org/officeDocument/2006/relationships/hyperlink" Target="https://www.insee.fr/fr/statistiques/serie/001759970" TargetMode="External"/><Relationship Id="rId12" Type="http://schemas.openxmlformats.org/officeDocument/2006/relationships/hyperlink" Target="https://www.insee.fr/fr/statistiques/serie/001688526" TargetMode="External"/><Relationship Id="rId13" Type="http://schemas.openxmlformats.org/officeDocument/2006/relationships/hyperlink" Target="https://www.iledefrance-mobilites.fr/" TargetMode="External"/><Relationship Id="rId14" Type="http://schemas.openxmlformats.org/officeDocument/2006/relationships/hyperlink" Target="https://www.boulangerie.org/" TargetMode="External"/><Relationship Id="rId15" Type="http://schemas.openxmlformats.org/officeDocument/2006/relationships/hyperlink" Target="https://ec.europa.eu/eurostat/databrowser/view/gov_10dd_edpt1/" TargetMode="External"/><Relationship Id="rId16" Type="http://schemas.openxmlformats.org/officeDocument/2006/relationships/hyperlink" Target="https://www.insee.fr/fr/statistiques/serie/001605612" TargetMode="External"/><Relationship Id="rId17" Type="http://schemas.openxmlformats.org/officeDocument/2006/relationships/hyperlink" Target="https://www.insee.fr/fr/statistiques/serie/000868550" TargetMode="External"/><Relationship Id="rId18" Type="http://schemas.openxmlformats.org/officeDocument/2006/relationships/hyperlink" Target="https://www.insee.fr/fr/statistiques/serie/001515769" TargetMode="External"/><Relationship Id="rId19" Type="http://schemas.openxmlformats.org/officeDocument/2006/relationships/hyperlink" Target="https://www.insee.fr/fr/statistiques/serie/001515770" TargetMode="External"/><Relationship Id="rId20" Type="http://schemas.openxmlformats.org/officeDocument/2006/relationships/hyperlink" Target="https://www.insee.fr/fr/statistiques/serie/001515766" TargetMode="External"/><Relationship Id="rId21" Type="http://schemas.openxmlformats.org/officeDocument/2006/relationships/hyperlink" Target="https://webstat.banque-france.fr/" TargetMode="External"/><Relationship Id="rId22" Type="http://schemas.openxmlformats.org/officeDocument/2006/relationships/hyperlink" Target="https://www.notaires.fr/fr/immobilier-succession/prix-et-tendances-de-limmobili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62" min="3" style="1" width="8.5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9.5" hidden="false" customHeight="true" outlineLevel="0" collapsed="false">
      <c r="A2" s="3" t="s">
        <v>1</v>
      </c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 t="s">
        <v>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 t="s">
        <v>6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customFormat="false" ht="18" hidden="false" customHeight="true" outlineLevel="0" collapsed="false">
      <c r="A3" s="5"/>
      <c r="B3" s="5"/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8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15</v>
      </c>
      <c r="W3" s="6" t="s">
        <v>16</v>
      </c>
      <c r="X3" s="6" t="s">
        <v>17</v>
      </c>
      <c r="Y3" s="6" t="s">
        <v>18</v>
      </c>
      <c r="Z3" s="6" t="s">
        <v>19</v>
      </c>
      <c r="AA3" s="6" t="s">
        <v>8</v>
      </c>
      <c r="AB3" s="6" t="s">
        <v>9</v>
      </c>
      <c r="AC3" s="6" t="s">
        <v>10</v>
      </c>
      <c r="AD3" s="6" t="s">
        <v>11</v>
      </c>
      <c r="AE3" s="6" t="s">
        <v>12</v>
      </c>
      <c r="AF3" s="6" t="s">
        <v>13</v>
      </c>
      <c r="AG3" s="6" t="s">
        <v>14</v>
      </c>
      <c r="AH3" s="6" t="s">
        <v>15</v>
      </c>
      <c r="AI3" s="6" t="s">
        <v>16</v>
      </c>
      <c r="AJ3" s="6" t="s">
        <v>17</v>
      </c>
      <c r="AK3" s="6" t="s">
        <v>18</v>
      </c>
      <c r="AL3" s="6" t="s">
        <v>19</v>
      </c>
      <c r="AM3" s="6" t="s">
        <v>8</v>
      </c>
      <c r="AN3" s="6" t="s">
        <v>9</v>
      </c>
      <c r="AO3" s="6" t="s">
        <v>10</v>
      </c>
      <c r="AP3" s="6" t="s">
        <v>11</v>
      </c>
      <c r="AQ3" s="6" t="s">
        <v>12</v>
      </c>
      <c r="AR3" s="6" t="s">
        <v>13</v>
      </c>
      <c r="AS3" s="6" t="s">
        <v>14</v>
      </c>
      <c r="AT3" s="6" t="s">
        <v>15</v>
      </c>
      <c r="AU3" s="6" t="s">
        <v>16</v>
      </c>
      <c r="AV3" s="6" t="s">
        <v>17</v>
      </c>
      <c r="AW3" s="6" t="s">
        <v>18</v>
      </c>
      <c r="AX3" s="6" t="s">
        <v>19</v>
      </c>
      <c r="AY3" s="6" t="s">
        <v>8</v>
      </c>
      <c r="AZ3" s="6" t="s">
        <v>9</v>
      </c>
      <c r="BA3" s="6" t="s">
        <v>10</v>
      </c>
      <c r="BB3" s="6" t="s">
        <v>11</v>
      </c>
      <c r="BC3" s="6" t="s">
        <v>12</v>
      </c>
      <c r="BD3" s="6" t="s">
        <v>13</v>
      </c>
      <c r="BE3" s="6" t="s">
        <v>14</v>
      </c>
      <c r="BF3" s="6" t="s">
        <v>15</v>
      </c>
      <c r="BG3" s="6" t="s">
        <v>16</v>
      </c>
      <c r="BH3" s="6" t="s">
        <v>17</v>
      </c>
      <c r="BI3" s="6" t="s">
        <v>18</v>
      </c>
      <c r="BJ3" s="6" t="s">
        <v>19</v>
      </c>
    </row>
    <row r="4" customFormat="false" ht="18" hidden="false" customHeight="true" outlineLevel="0" collapsed="false">
      <c r="A4" s="7" t="s">
        <v>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customFormat="false" ht="18" hidden="false" customHeight="true" outlineLevel="0" collapsed="false">
      <c r="A5" s="8" t="s">
        <v>21</v>
      </c>
      <c r="B5" s="9" t="s">
        <v>22</v>
      </c>
      <c r="C5" s="10" t="n">
        <v>6862</v>
      </c>
      <c r="D5" s="10" t="n">
        <v>6659</v>
      </c>
      <c r="E5" s="10" t="n">
        <v>6685</v>
      </c>
      <c r="F5" s="10" t="n">
        <v>6361</v>
      </c>
      <c r="G5" s="10" t="n">
        <v>6362</v>
      </c>
      <c r="H5" s="10" t="n">
        <v>5922</v>
      </c>
      <c r="I5" s="10" t="n">
        <v>6411</v>
      </c>
      <c r="J5" s="10" t="n">
        <v>6192</v>
      </c>
      <c r="K5" s="10" t="n">
        <v>5765</v>
      </c>
      <c r="L5" s="10" t="n">
        <v>6268</v>
      </c>
      <c r="M5" s="10" t="n">
        <v>6684</v>
      </c>
      <c r="N5" s="10" t="n">
        <v>6474</v>
      </c>
      <c r="O5" s="10" t="n">
        <v>7088</v>
      </c>
      <c r="P5" s="10" t="n">
        <v>7270</v>
      </c>
      <c r="Q5" s="10" t="n">
        <v>7322</v>
      </c>
      <c r="R5" s="10" t="n">
        <v>7491</v>
      </c>
      <c r="S5" s="10" t="n">
        <v>7323</v>
      </c>
      <c r="T5" s="10" t="n">
        <v>7400</v>
      </c>
      <c r="U5" s="10" t="n">
        <v>7476</v>
      </c>
      <c r="V5" s="10" t="n">
        <v>7309</v>
      </c>
      <c r="W5" s="10" t="n">
        <v>7135</v>
      </c>
      <c r="X5" s="10" t="n">
        <v>6885</v>
      </c>
      <c r="Y5" s="10" t="n">
        <v>7250</v>
      </c>
      <c r="Z5" s="10" t="n">
        <v>7543</v>
      </c>
      <c r="AA5" s="10" t="n">
        <v>7618</v>
      </c>
      <c r="AB5" s="10" t="n">
        <v>7932</v>
      </c>
      <c r="AC5" s="10" t="n">
        <v>8206</v>
      </c>
      <c r="AD5" s="10" t="n">
        <v>8023</v>
      </c>
      <c r="AE5" s="10" t="n">
        <v>8094</v>
      </c>
      <c r="AF5" s="10" t="n">
        <v>7558</v>
      </c>
      <c r="AG5" s="10" t="n">
        <v>7688</v>
      </c>
      <c r="AH5" s="10" t="n">
        <v>7646</v>
      </c>
      <c r="AI5" s="10" t="n">
        <v>7635</v>
      </c>
      <c r="AJ5" s="10" t="n">
        <v>7350</v>
      </c>
      <c r="AK5" s="10" t="n">
        <v>7235</v>
      </c>
      <c r="AL5" s="10" t="n">
        <v>7380</v>
      </c>
      <c r="AM5" s="10" t="n">
        <v>7988</v>
      </c>
      <c r="AN5" s="10" t="n">
        <v>8118</v>
      </c>
      <c r="AO5" s="10" t="n">
        <v>7936</v>
      </c>
      <c r="AP5" s="10" t="n">
        <v>7507</v>
      </c>
      <c r="AQ5" s="10" t="n">
        <v>7953</v>
      </c>
      <c r="AR5" s="10" t="n">
        <v>7814</v>
      </c>
      <c r="AS5" s="10" t="n">
        <v>7780</v>
      </c>
      <c r="AT5" s="10" t="n">
        <v>7550</v>
      </c>
      <c r="AU5" s="10" t="n">
        <v>7600</v>
      </c>
      <c r="AV5" s="10" t="n">
        <v>7490</v>
      </c>
      <c r="AW5" s="10" t="n">
        <v>7350</v>
      </c>
      <c r="AX5" s="10" t="n">
        <v>7260</v>
      </c>
      <c r="AY5" s="10" t="n">
        <v>8130</v>
      </c>
      <c r="AZ5" s="10" t="n">
        <v>8207</v>
      </c>
      <c r="BA5" s="10" t="n">
        <v>7901</v>
      </c>
      <c r="BB5" s="10" t="n">
        <v>8114</v>
      </c>
      <c r="BC5" s="10" t="n">
        <v>8116</v>
      </c>
      <c r="BD5" s="11"/>
      <c r="BE5" s="11"/>
      <c r="BF5" s="11"/>
      <c r="BG5" s="11"/>
      <c r="BH5" s="11"/>
      <c r="BI5" s="11"/>
      <c r="BJ5" s="11"/>
    </row>
    <row r="6" customFormat="false" ht="18" hidden="false" customHeight="true" outlineLevel="0" collapsed="false">
      <c r="A6" s="8" t="s">
        <v>23</v>
      </c>
      <c r="B6" s="9" t="s">
        <v>22</v>
      </c>
      <c r="C6" s="10" t="n">
        <v>4173</v>
      </c>
      <c r="D6" s="10" t="n">
        <v>4062</v>
      </c>
      <c r="E6" s="10" t="n">
        <v>3901</v>
      </c>
      <c r="F6" s="10" t="n">
        <v>3756</v>
      </c>
      <c r="G6" s="10" t="n">
        <v>3723</v>
      </c>
      <c r="H6" s="10" t="n">
        <v>3454</v>
      </c>
      <c r="I6" s="10" t="n">
        <v>3612</v>
      </c>
      <c r="J6" s="10" t="n">
        <v>3506</v>
      </c>
      <c r="K6" s="10" t="n">
        <v>3252</v>
      </c>
      <c r="L6" s="10" t="n">
        <v>3617</v>
      </c>
      <c r="M6" s="10" t="n">
        <v>3907</v>
      </c>
      <c r="N6" s="10" t="n">
        <v>3793</v>
      </c>
      <c r="O6" s="10" t="n">
        <v>4216</v>
      </c>
      <c r="P6" s="10" t="n">
        <v>4267</v>
      </c>
      <c r="Q6" s="10" t="n">
        <v>4316</v>
      </c>
      <c r="R6" s="10" t="n">
        <v>4359</v>
      </c>
      <c r="S6" s="10" t="n">
        <v>4261</v>
      </c>
      <c r="T6" s="10" t="n">
        <v>4399</v>
      </c>
      <c r="U6" s="10" t="n">
        <v>4409</v>
      </c>
      <c r="V6" s="10" t="n">
        <v>4249</v>
      </c>
      <c r="W6" s="10" t="n">
        <v>4094</v>
      </c>
      <c r="X6" s="10" t="n">
        <v>3995</v>
      </c>
      <c r="Y6" s="10" t="n">
        <v>4381</v>
      </c>
      <c r="Z6" s="10" t="n">
        <v>4521</v>
      </c>
      <c r="AA6" s="10" t="n">
        <v>4683</v>
      </c>
      <c r="AB6" s="10" t="n">
        <v>4918</v>
      </c>
      <c r="AC6" s="10" t="n">
        <v>5083</v>
      </c>
      <c r="AD6" s="10" t="n">
        <v>4929</v>
      </c>
      <c r="AE6" s="10" t="n">
        <v>5004</v>
      </c>
      <c r="AF6" s="10" t="n">
        <v>4848</v>
      </c>
      <c r="AG6" s="10" t="n">
        <v>4934</v>
      </c>
      <c r="AH6" s="10" t="n">
        <v>4942</v>
      </c>
      <c r="AI6" s="10" t="n">
        <v>4958</v>
      </c>
      <c r="AJ6" s="10" t="n">
        <v>4844</v>
      </c>
      <c r="AK6" s="10" t="n">
        <v>4839</v>
      </c>
      <c r="AL6" s="10" t="n">
        <v>4896</v>
      </c>
      <c r="AM6" s="10" t="n">
        <v>5262</v>
      </c>
      <c r="AN6" s="10" t="n">
        <v>5513</v>
      </c>
      <c r="AO6" s="10" t="n">
        <v>5359</v>
      </c>
      <c r="AP6" s="10" t="n">
        <v>5106</v>
      </c>
      <c r="AQ6" s="10" t="n">
        <v>5354</v>
      </c>
      <c r="AR6" s="10" t="n">
        <v>5227</v>
      </c>
      <c r="AS6" s="10" t="n">
        <v>5180</v>
      </c>
      <c r="AT6" s="10" t="n">
        <v>5050</v>
      </c>
      <c r="AU6" s="10" t="n">
        <v>5100</v>
      </c>
      <c r="AV6" s="10" t="n">
        <v>5020</v>
      </c>
      <c r="AW6" s="10" t="n">
        <v>4940</v>
      </c>
      <c r="AX6" s="10" t="n">
        <v>4880</v>
      </c>
      <c r="AY6" s="10" t="n">
        <v>5380</v>
      </c>
      <c r="AZ6" s="10" t="n">
        <v>5550</v>
      </c>
      <c r="BA6" s="10" t="n">
        <v>5290</v>
      </c>
      <c r="BB6" s="10" t="n">
        <v>5720</v>
      </c>
      <c r="BC6" s="10" t="n">
        <v>5981</v>
      </c>
      <c r="BD6" s="11"/>
      <c r="BE6" s="11"/>
      <c r="BF6" s="11"/>
      <c r="BG6" s="11"/>
      <c r="BH6" s="11"/>
      <c r="BI6" s="11"/>
      <c r="BJ6" s="11"/>
    </row>
    <row r="7" customFormat="false" ht="18" hidden="false" customHeight="true" outlineLevel="0" collapsed="false">
      <c r="A7" s="8" t="s">
        <v>24</v>
      </c>
      <c r="B7" s="9" t="s">
        <v>22</v>
      </c>
      <c r="C7" s="10" t="n">
        <v>14239</v>
      </c>
      <c r="D7" s="10" t="n">
        <v>13751</v>
      </c>
      <c r="E7" s="10" t="n">
        <v>14262</v>
      </c>
      <c r="F7" s="10" t="n">
        <v>12335</v>
      </c>
      <c r="G7" s="10" t="n">
        <v>11835</v>
      </c>
      <c r="H7" s="10" t="n">
        <v>10774</v>
      </c>
      <c r="I7" s="10" t="n">
        <v>12391</v>
      </c>
      <c r="J7" s="10" t="n">
        <v>11630</v>
      </c>
      <c r="K7" s="10" t="n">
        <v>10575</v>
      </c>
      <c r="L7" s="10" t="n">
        <v>10971</v>
      </c>
      <c r="M7" s="10" t="n">
        <v>11468</v>
      </c>
      <c r="N7" s="10" t="n">
        <v>10939</v>
      </c>
      <c r="O7" s="10" t="n">
        <v>11621</v>
      </c>
      <c r="P7" s="10" t="n">
        <v>11455</v>
      </c>
      <c r="Q7" s="10" t="n">
        <v>12222</v>
      </c>
      <c r="R7" s="10" t="n">
        <v>12227</v>
      </c>
      <c r="S7" s="10" t="n">
        <v>13181</v>
      </c>
      <c r="T7" s="10" t="n">
        <v>13788</v>
      </c>
      <c r="U7" s="10" t="n">
        <v>14317</v>
      </c>
      <c r="V7" s="10" t="n">
        <v>13791</v>
      </c>
      <c r="W7" s="10" t="n">
        <v>13219</v>
      </c>
      <c r="X7" s="10" t="n">
        <v>12851</v>
      </c>
      <c r="Y7" s="10" t="n">
        <v>14226</v>
      </c>
      <c r="Z7" s="10" t="n">
        <v>15011</v>
      </c>
      <c r="AA7" s="10" t="n">
        <v>15361</v>
      </c>
      <c r="AB7" s="10" t="n">
        <v>15997</v>
      </c>
      <c r="AC7" s="10" t="n">
        <v>16380</v>
      </c>
      <c r="AD7" s="10" t="n">
        <v>15657</v>
      </c>
      <c r="AE7" s="10" t="n">
        <v>16736</v>
      </c>
      <c r="AF7" s="10" t="n">
        <v>17733</v>
      </c>
      <c r="AG7" s="10" t="n">
        <v>17599</v>
      </c>
      <c r="AH7" s="10" t="n">
        <v>17713</v>
      </c>
      <c r="AI7" s="10" t="n">
        <v>17926</v>
      </c>
      <c r="AJ7" s="10" t="n">
        <v>18096</v>
      </c>
      <c r="AK7" s="10" t="n">
        <v>19218</v>
      </c>
      <c r="AL7" s="10" t="n">
        <v>19310</v>
      </c>
      <c r="AM7" s="10" t="n">
        <v>19281</v>
      </c>
      <c r="AN7" s="10" t="n">
        <v>18847</v>
      </c>
      <c r="AO7" s="10" t="n">
        <v>17300</v>
      </c>
      <c r="AP7" s="10" t="n">
        <v>17166</v>
      </c>
      <c r="AQ7" s="10" t="n">
        <v>19113</v>
      </c>
      <c r="AR7" s="10" t="n">
        <v>20058</v>
      </c>
      <c r="AS7" s="10" t="n">
        <v>20453</v>
      </c>
      <c r="AT7" s="10" t="n">
        <v>19474</v>
      </c>
      <c r="AU7" s="10" t="n">
        <v>19791</v>
      </c>
      <c r="AV7" s="10" t="n">
        <v>18518</v>
      </c>
      <c r="AW7" s="10" t="n">
        <v>19161</v>
      </c>
      <c r="AX7" s="10" t="n">
        <v>19311</v>
      </c>
      <c r="AY7" s="10" t="n">
        <v>19956</v>
      </c>
      <c r="AZ7" s="10" t="n">
        <v>19630</v>
      </c>
      <c r="BA7" s="10" t="n">
        <v>17899</v>
      </c>
      <c r="BB7" s="10" t="n">
        <v>19088</v>
      </c>
      <c r="BC7" s="10" t="n">
        <v>26121</v>
      </c>
      <c r="BD7" s="11"/>
      <c r="BE7" s="11"/>
      <c r="BF7" s="11"/>
      <c r="BG7" s="11"/>
      <c r="BH7" s="11"/>
      <c r="BI7" s="11"/>
      <c r="BJ7" s="11"/>
    </row>
    <row r="8" customFormat="false" ht="18" hidden="false" customHeight="true" outlineLevel="0" collapsed="false">
      <c r="A8" s="8" t="s">
        <v>25</v>
      </c>
      <c r="B8" s="9" t="s">
        <v>22</v>
      </c>
      <c r="C8" s="10" t="n">
        <v>35132</v>
      </c>
      <c r="D8" s="10" t="n">
        <v>33893</v>
      </c>
      <c r="E8" s="10" t="n">
        <v>34678</v>
      </c>
      <c r="F8" s="10" t="n">
        <v>32977</v>
      </c>
      <c r="G8" s="10" t="n">
        <v>32990</v>
      </c>
      <c r="H8" s="10" t="n">
        <v>30775</v>
      </c>
      <c r="I8" s="10" t="n">
        <v>32845</v>
      </c>
      <c r="J8" s="10" t="n">
        <v>31510</v>
      </c>
      <c r="K8" s="10" t="n">
        <v>28726</v>
      </c>
      <c r="L8" s="10" t="n">
        <v>32732</v>
      </c>
      <c r="M8" s="10" t="n">
        <v>34589</v>
      </c>
      <c r="N8" s="10" t="n">
        <v>33147</v>
      </c>
      <c r="O8" s="10" t="n">
        <v>34086</v>
      </c>
      <c r="P8" s="10" t="n">
        <v>32657</v>
      </c>
      <c r="Q8" s="10" t="n">
        <v>33274</v>
      </c>
      <c r="R8" s="10" t="n">
        <v>34098</v>
      </c>
      <c r="S8" s="10" t="n">
        <v>32909</v>
      </c>
      <c r="T8" s="10" t="n">
        <v>34408</v>
      </c>
      <c r="U8" s="10" t="n">
        <v>35559</v>
      </c>
      <c r="V8" s="10" t="n">
        <v>34722</v>
      </c>
      <c r="W8" s="10" t="n">
        <v>33507</v>
      </c>
      <c r="X8" s="10" t="n">
        <v>33052</v>
      </c>
      <c r="Y8" s="10" t="n">
        <v>35950</v>
      </c>
      <c r="Z8" s="10" t="n">
        <v>37690</v>
      </c>
      <c r="AA8" s="10" t="n">
        <v>38150</v>
      </c>
      <c r="AB8" s="10" t="n">
        <v>38997</v>
      </c>
      <c r="AC8" s="10" t="n">
        <v>39807</v>
      </c>
      <c r="AD8" s="10" t="n">
        <v>37816</v>
      </c>
      <c r="AE8" s="10" t="n">
        <v>38687</v>
      </c>
      <c r="AF8" s="10" t="n">
        <v>39118</v>
      </c>
      <c r="AG8" s="10" t="n">
        <v>40842</v>
      </c>
      <c r="AH8" s="10" t="n">
        <v>41563</v>
      </c>
      <c r="AI8" s="10" t="n">
        <v>42330</v>
      </c>
      <c r="AJ8" s="10" t="n">
        <v>41763</v>
      </c>
      <c r="AK8" s="10" t="n">
        <v>44910</v>
      </c>
      <c r="AL8" s="10" t="n">
        <v>42544</v>
      </c>
      <c r="AM8" s="10" t="n">
        <v>44544</v>
      </c>
      <c r="AN8" s="10" t="n">
        <v>43841</v>
      </c>
      <c r="AO8" s="10" t="n">
        <v>41583</v>
      </c>
      <c r="AP8" s="10" t="n">
        <v>40669</v>
      </c>
      <c r="AQ8" s="10" t="n">
        <v>44114</v>
      </c>
      <c r="AR8" s="10" t="n">
        <v>44271</v>
      </c>
      <c r="AS8" s="10" t="n">
        <v>44765</v>
      </c>
      <c r="AT8" s="10" t="n">
        <v>41563</v>
      </c>
      <c r="AU8" s="10" t="n">
        <v>42348</v>
      </c>
      <c r="AV8" s="10" t="n">
        <v>41763</v>
      </c>
      <c r="AW8" s="10" t="n">
        <v>44538</v>
      </c>
      <c r="AX8" s="10" t="n">
        <v>42573</v>
      </c>
      <c r="AY8" s="10" t="n">
        <v>45003</v>
      </c>
      <c r="AZ8" s="10" t="n">
        <v>43840</v>
      </c>
      <c r="BA8" s="10" t="n">
        <v>41582</v>
      </c>
      <c r="BB8" s="10" t="n">
        <v>40527</v>
      </c>
      <c r="BC8" s="10" t="n">
        <v>49878</v>
      </c>
      <c r="BD8" s="11"/>
      <c r="BE8" s="11"/>
      <c r="BF8" s="11"/>
      <c r="BG8" s="11"/>
      <c r="BH8" s="11"/>
      <c r="BI8" s="11"/>
      <c r="BJ8" s="11"/>
    </row>
    <row r="9" customFormat="false" ht="18" hidden="false" customHeight="true" outlineLevel="0" collapsed="false">
      <c r="A9" s="8" t="s">
        <v>26</v>
      </c>
      <c r="B9" s="9" t="s">
        <v>27</v>
      </c>
      <c r="C9" s="10" t="n">
        <v>24.8</v>
      </c>
      <c r="D9" s="10" t="n">
        <v>30.7</v>
      </c>
      <c r="E9" s="10" t="n">
        <v>22.5</v>
      </c>
      <c r="F9" s="10" t="n">
        <v>33.4</v>
      </c>
      <c r="G9" s="10" t="n">
        <v>26.2</v>
      </c>
      <c r="H9" s="10" t="n">
        <v>28.7</v>
      </c>
      <c r="I9" s="10" t="n">
        <v>21.3</v>
      </c>
      <c r="J9" s="10" t="n">
        <v>25.5</v>
      </c>
      <c r="K9" s="10" t="n">
        <v>31.6</v>
      </c>
      <c r="L9" s="10" t="n">
        <v>25.9</v>
      </c>
      <c r="M9" s="10" t="n">
        <v>20.6</v>
      </c>
      <c r="N9" s="10" t="n">
        <v>21.7</v>
      </c>
      <c r="O9" s="10" t="n">
        <v>18.4</v>
      </c>
      <c r="P9" s="10" t="n">
        <v>20.7</v>
      </c>
      <c r="Q9" s="10" t="n">
        <v>18.7</v>
      </c>
      <c r="R9" s="10" t="n">
        <v>15.8</v>
      </c>
      <c r="S9" s="10" t="n">
        <v>17</v>
      </c>
      <c r="T9" s="10" t="n">
        <v>13.6</v>
      </c>
      <c r="U9" s="10" t="n">
        <v>13.3</v>
      </c>
      <c r="V9" s="10" t="n">
        <v>15.7</v>
      </c>
      <c r="W9" s="10" t="n">
        <v>17.5</v>
      </c>
      <c r="X9" s="10" t="n">
        <v>19.7</v>
      </c>
      <c r="Y9" s="10" t="n">
        <v>12.6</v>
      </c>
      <c r="Z9" s="10" t="n">
        <v>12.5</v>
      </c>
      <c r="AA9" s="10" t="n">
        <v>13.3</v>
      </c>
      <c r="AB9" s="10" t="n">
        <v>13.1</v>
      </c>
      <c r="AC9" s="10" t="n">
        <v>13</v>
      </c>
      <c r="AD9" s="10" t="n">
        <v>15.3</v>
      </c>
      <c r="AE9" s="10" t="n">
        <v>13.4</v>
      </c>
      <c r="AF9" s="10" t="n">
        <v>12.4</v>
      </c>
      <c r="AG9" s="10" t="n">
        <v>16.4</v>
      </c>
      <c r="AH9" s="10" t="n">
        <v>15</v>
      </c>
      <c r="AI9" s="10" t="n">
        <v>16.7</v>
      </c>
      <c r="AJ9" s="10" t="n">
        <v>23.2</v>
      </c>
      <c r="AK9" s="10" t="n">
        <v>14.1</v>
      </c>
      <c r="AL9" s="10" t="n">
        <v>17.4</v>
      </c>
      <c r="AM9" s="10" t="n">
        <v>16.4</v>
      </c>
      <c r="AN9" s="10" t="n">
        <v>19.6</v>
      </c>
      <c r="AO9" s="10" t="n">
        <v>22.3</v>
      </c>
      <c r="AP9" s="10" t="n">
        <v>34.5</v>
      </c>
      <c r="AQ9" s="10" t="n">
        <v>18.2</v>
      </c>
      <c r="AR9" s="10" t="n">
        <v>16.7</v>
      </c>
      <c r="AS9" s="10" t="n">
        <v>16</v>
      </c>
      <c r="AT9" s="10" t="n">
        <v>20.1</v>
      </c>
      <c r="AU9" s="10" t="n">
        <v>17.3</v>
      </c>
      <c r="AV9" s="10" t="n">
        <v>22.4</v>
      </c>
      <c r="AW9" s="10" t="n">
        <v>15.6</v>
      </c>
      <c r="AX9" s="10" t="n">
        <v>18</v>
      </c>
      <c r="AY9" s="10" t="n">
        <v>16.1</v>
      </c>
      <c r="AZ9" s="10" t="n">
        <v>20.4</v>
      </c>
      <c r="BA9" s="10" t="n">
        <v>21.9</v>
      </c>
      <c r="BB9" s="10" t="n">
        <v>24.8</v>
      </c>
      <c r="BC9" s="10" t="n">
        <v>17.4</v>
      </c>
      <c r="BD9" s="11"/>
      <c r="BE9" s="11"/>
      <c r="BF9" s="11"/>
      <c r="BG9" s="11"/>
      <c r="BH9" s="11"/>
      <c r="BI9" s="11"/>
      <c r="BJ9" s="11"/>
    </row>
    <row r="10" customFormat="false" ht="18" hidden="false" customHeight="true" outlineLevel="0" collapsed="false">
      <c r="A10" s="8" t="s">
        <v>28</v>
      </c>
      <c r="B10" s="9" t="s">
        <v>29</v>
      </c>
      <c r="C10" s="10" t="n">
        <v>1.1231</v>
      </c>
      <c r="D10" s="10" t="n">
        <v>1.1121</v>
      </c>
      <c r="E10" s="10" t="n">
        <v>1.1074</v>
      </c>
      <c r="F10" s="10" t="n">
        <v>1.0544</v>
      </c>
      <c r="G10" s="10" t="n">
        <v>1.0736</v>
      </c>
      <c r="H10" s="10" t="n">
        <v>1.0484</v>
      </c>
      <c r="I10" s="10" t="n">
        <v>1.0217</v>
      </c>
      <c r="J10" s="10" t="n">
        <v>1.0001</v>
      </c>
      <c r="K10" s="10" t="n">
        <v>0.9798</v>
      </c>
      <c r="L10" s="10" t="n">
        <v>0.9982</v>
      </c>
      <c r="M10" s="10" t="n">
        <v>1.0352</v>
      </c>
      <c r="N10" s="10" t="n">
        <v>1.0698</v>
      </c>
      <c r="O10" s="10" t="n">
        <v>1.0861</v>
      </c>
      <c r="P10" s="10" t="n">
        <v>1.0582</v>
      </c>
      <c r="Q10" s="10" t="n">
        <v>1.0927</v>
      </c>
      <c r="R10" s="10" t="n">
        <v>1.1021</v>
      </c>
      <c r="S10" s="10" t="n">
        <v>1.0746</v>
      </c>
      <c r="T10" s="10" t="n">
        <v>1.0912</v>
      </c>
      <c r="U10" s="10" t="n">
        <v>1.1008</v>
      </c>
      <c r="V10" s="10" t="n">
        <v>1.084</v>
      </c>
      <c r="W10" s="10" t="n">
        <v>1.0568</v>
      </c>
      <c r="X10" s="10" t="n">
        <v>1.0557</v>
      </c>
      <c r="Y10" s="10" t="n">
        <v>1.0888</v>
      </c>
      <c r="Z10" s="10" t="n">
        <v>1.105</v>
      </c>
      <c r="AA10" s="10" t="n">
        <v>1.0845</v>
      </c>
      <c r="AB10" s="10" t="n">
        <v>1.0843</v>
      </c>
      <c r="AC10" s="10" t="n">
        <v>1.0793</v>
      </c>
      <c r="AD10" s="10" t="n">
        <v>1.0726</v>
      </c>
      <c r="AE10" s="10" t="n">
        <v>1.0853</v>
      </c>
      <c r="AF10" s="10" t="n">
        <v>1.0715</v>
      </c>
      <c r="AG10" s="10" t="n">
        <v>1.0815</v>
      </c>
      <c r="AH10" s="10" t="n">
        <v>1.1046</v>
      </c>
      <c r="AI10" s="10" t="n">
        <v>1.1143</v>
      </c>
      <c r="AJ10" s="10" t="n">
        <v>1.0871</v>
      </c>
      <c r="AK10" s="10" t="n">
        <v>1.0534</v>
      </c>
      <c r="AL10" s="10" t="n">
        <v>1.0352</v>
      </c>
      <c r="AM10" s="10" t="n">
        <v>1.0308</v>
      </c>
      <c r="AN10" s="10" t="n">
        <v>1.0387</v>
      </c>
      <c r="AO10" s="10" t="n">
        <v>1.0817</v>
      </c>
      <c r="AP10" s="10" t="n">
        <v>1.1382</v>
      </c>
      <c r="AQ10" s="10" t="n">
        <v>1.1318</v>
      </c>
      <c r="AR10" s="10" t="n">
        <v>1.1283</v>
      </c>
      <c r="AS10" s="10" t="n">
        <v>1.105</v>
      </c>
      <c r="AT10" s="10" t="n">
        <v>1.0981</v>
      </c>
      <c r="AU10" s="10" t="n">
        <v>1.1037</v>
      </c>
      <c r="AV10" s="10" t="n">
        <v>1.0902</v>
      </c>
      <c r="AW10" s="10" t="n">
        <v>1.053</v>
      </c>
      <c r="AX10" s="10" t="n">
        <v>1.0352</v>
      </c>
      <c r="AY10" s="10" t="n">
        <v>1.0301</v>
      </c>
      <c r="AZ10" s="10" t="n">
        <v>1.0488</v>
      </c>
      <c r="BA10" s="10" t="n">
        <v>1.0838</v>
      </c>
      <c r="BB10" s="10" t="n">
        <v>1.1357</v>
      </c>
      <c r="BC10" s="10" t="n">
        <v>1.128</v>
      </c>
      <c r="BD10" s="11"/>
      <c r="BE10" s="11"/>
      <c r="BF10" s="11"/>
      <c r="BG10" s="11"/>
      <c r="BH10" s="11"/>
      <c r="BI10" s="11"/>
      <c r="BJ10" s="11"/>
    </row>
    <row r="11" customFormat="false" ht="18" hidden="false" customHeight="true" outlineLevel="0" collapsed="false">
      <c r="A11" s="8" t="s">
        <v>30</v>
      </c>
      <c r="B11" s="9" t="s">
        <v>31</v>
      </c>
      <c r="C11" s="12" t="n">
        <v>0.3</v>
      </c>
      <c r="D11" s="12" t="n">
        <v>0.76</v>
      </c>
      <c r="E11" s="12" t="n">
        <v>0.96</v>
      </c>
      <c r="F11" s="12" t="n">
        <v>1.43</v>
      </c>
      <c r="G11" s="12" t="n">
        <v>1.63</v>
      </c>
      <c r="H11" s="12" t="n">
        <v>2.07</v>
      </c>
      <c r="I11" s="12" t="n">
        <v>1.65</v>
      </c>
      <c r="J11" s="12" t="n">
        <v>1.91</v>
      </c>
      <c r="K11" s="12" t="n">
        <v>2.74</v>
      </c>
      <c r="L11" s="12" t="n">
        <v>2.83</v>
      </c>
      <c r="M11" s="12" t="n">
        <v>2.52</v>
      </c>
      <c r="N11" s="12" t="n">
        <v>3.12</v>
      </c>
      <c r="O11" s="12" t="n">
        <v>2.87</v>
      </c>
      <c r="P11" s="12" t="n">
        <v>3.24</v>
      </c>
      <c r="Q11" s="12" t="n">
        <v>3.02</v>
      </c>
      <c r="R11" s="12" t="n">
        <v>3.01</v>
      </c>
      <c r="S11" s="12" t="n">
        <v>3.21</v>
      </c>
      <c r="T11" s="12" t="n">
        <v>3.43</v>
      </c>
      <c r="U11" s="12" t="n">
        <v>3.4</v>
      </c>
      <c r="V11" s="12" t="n">
        <v>3.54</v>
      </c>
      <c r="W11" s="12" t="n">
        <v>3.85</v>
      </c>
      <c r="X11" s="12" t="n">
        <v>3.84</v>
      </c>
      <c r="Y11" s="12" t="n">
        <v>3.42</v>
      </c>
      <c r="Z11" s="12" t="n">
        <v>3.15</v>
      </c>
      <c r="AA11" s="12" t="n">
        <v>3.27</v>
      </c>
      <c r="AB11" s="12" t="n">
        <v>3.42</v>
      </c>
      <c r="AC11" s="12" t="n">
        <v>3.16</v>
      </c>
      <c r="AD11" s="12" t="n">
        <v>3.39</v>
      </c>
      <c r="AE11" s="12" t="n">
        <v>3.22</v>
      </c>
      <c r="AF11" s="12" t="n">
        <v>3.34</v>
      </c>
      <c r="AG11" s="12" t="n">
        <v>3.22</v>
      </c>
      <c r="AH11" s="12" t="n">
        <v>3.02</v>
      </c>
      <c r="AI11" s="12" t="n">
        <v>3</v>
      </c>
      <c r="AJ11" s="12" t="n">
        <v>3.25</v>
      </c>
      <c r="AK11" s="12" t="n">
        <v>3.2</v>
      </c>
      <c r="AL11" s="12" t="n">
        <v>3.3</v>
      </c>
      <c r="AM11" s="12" t="n">
        <v>3.41</v>
      </c>
      <c r="AN11" s="12" t="n">
        <v>3.52</v>
      </c>
      <c r="AO11" s="12" t="n">
        <v>3.75</v>
      </c>
      <c r="AP11" s="12" t="n">
        <v>3.69</v>
      </c>
      <c r="AQ11" s="12" t="n">
        <v>3.62</v>
      </c>
      <c r="AR11" s="12" t="n">
        <v>3.58</v>
      </c>
      <c r="AS11" s="12" t="n">
        <v>3.51</v>
      </c>
      <c r="AT11" s="12" t="n">
        <v>3.42</v>
      </c>
      <c r="AU11" s="12" t="n">
        <v>3.38</v>
      </c>
      <c r="AV11" s="12" t="n">
        <v>3.32</v>
      </c>
      <c r="AW11" s="12" t="n">
        <v>3.28</v>
      </c>
      <c r="AX11" s="12" t="n">
        <v>3.2</v>
      </c>
      <c r="AY11" s="12" t="n">
        <v>3.4</v>
      </c>
      <c r="AZ11" s="12" t="n">
        <v>3.48</v>
      </c>
      <c r="BA11" s="12" t="n">
        <v>3.72</v>
      </c>
      <c r="BB11" s="12" t="n">
        <v>3.63</v>
      </c>
      <c r="BC11" s="12" t="n">
        <v>3.55</v>
      </c>
      <c r="BD11" s="11"/>
      <c r="BE11" s="11"/>
      <c r="BF11" s="11"/>
      <c r="BG11" s="11"/>
      <c r="BH11" s="11"/>
      <c r="BI11" s="11"/>
      <c r="BJ11" s="11"/>
    </row>
    <row r="12" customFormat="false" ht="18" hidden="false" customHeight="true" outlineLevel="0" collapsed="false">
      <c r="A12" s="8" t="s">
        <v>32</v>
      </c>
      <c r="B12" s="9" t="s">
        <v>33</v>
      </c>
      <c r="C12" s="12" t="n">
        <v>91.2</v>
      </c>
      <c r="D12" s="12" t="n">
        <v>98</v>
      </c>
      <c r="E12" s="12" t="n">
        <v>112</v>
      </c>
      <c r="F12" s="12" t="n">
        <v>107.5</v>
      </c>
      <c r="G12" s="12" t="n">
        <v>122.8</v>
      </c>
      <c r="H12" s="12" t="n">
        <v>114.7</v>
      </c>
      <c r="I12" s="12" t="n">
        <v>105.8</v>
      </c>
      <c r="J12" s="12" t="n">
        <v>100</v>
      </c>
      <c r="K12" s="12" t="n">
        <v>88.5</v>
      </c>
      <c r="L12" s="12" t="n">
        <v>96.2</v>
      </c>
      <c r="M12" s="12" t="n">
        <v>85.4</v>
      </c>
      <c r="N12" s="12" t="n">
        <v>82.7</v>
      </c>
      <c r="O12" s="12" t="n">
        <v>84.9</v>
      </c>
      <c r="P12" s="12" t="n">
        <v>83</v>
      </c>
      <c r="Q12" s="12" t="n">
        <v>79.8</v>
      </c>
      <c r="R12" s="12" t="n">
        <v>79.5</v>
      </c>
      <c r="S12" s="12" t="n">
        <v>74.3</v>
      </c>
      <c r="T12" s="12" t="n">
        <v>74.9</v>
      </c>
      <c r="U12" s="12" t="n">
        <v>85.6</v>
      </c>
      <c r="V12" s="12" t="n">
        <v>86.3</v>
      </c>
      <c r="W12" s="12" t="n">
        <v>93</v>
      </c>
      <c r="X12" s="12" t="n">
        <v>87.3</v>
      </c>
      <c r="Y12" s="12" t="n">
        <v>80</v>
      </c>
      <c r="Z12" s="12" t="n">
        <v>77</v>
      </c>
      <c r="AA12" s="12" t="n">
        <v>82.4</v>
      </c>
      <c r="AB12" s="12" t="n">
        <v>82</v>
      </c>
      <c r="AC12" s="12" t="n">
        <v>87.5</v>
      </c>
      <c r="AD12" s="12" t="n">
        <v>88.4</v>
      </c>
      <c r="AE12" s="12" t="n">
        <v>82.5</v>
      </c>
      <c r="AF12" s="12" t="n">
        <v>85</v>
      </c>
      <c r="AG12" s="12" t="n">
        <v>80.7</v>
      </c>
      <c r="AH12" s="12" t="n">
        <v>78.8</v>
      </c>
      <c r="AI12" s="12" t="n">
        <v>72</v>
      </c>
      <c r="AJ12" s="12" t="n">
        <v>73.2</v>
      </c>
      <c r="AK12" s="12" t="n">
        <v>73.5</v>
      </c>
      <c r="AL12" s="12" t="n">
        <v>74.7</v>
      </c>
      <c r="AM12" s="12" t="n">
        <v>76.8</v>
      </c>
      <c r="AN12" s="12" t="n">
        <v>74.5</v>
      </c>
      <c r="AO12" s="12" t="n">
        <v>73.5</v>
      </c>
      <c r="AP12" s="12" t="n">
        <v>67</v>
      </c>
      <c r="AQ12" s="12" t="n">
        <v>61.2</v>
      </c>
      <c r="AR12" s="12" t="n">
        <v>67.8</v>
      </c>
      <c r="AS12" s="12" t="n">
        <v>78.5</v>
      </c>
      <c r="AT12" s="12" t="n">
        <v>75.6</v>
      </c>
      <c r="AU12" s="12" t="n">
        <v>71.2</v>
      </c>
      <c r="AV12" s="12" t="n">
        <v>73.4</v>
      </c>
      <c r="AW12" s="12" t="n">
        <v>71</v>
      </c>
      <c r="AX12" s="12" t="n">
        <v>73.5</v>
      </c>
      <c r="AY12" s="12" t="n">
        <v>76.2</v>
      </c>
      <c r="AZ12" s="12" t="n">
        <v>74.4</v>
      </c>
      <c r="BA12" s="12" t="n">
        <v>72.1</v>
      </c>
      <c r="BB12" s="12" t="n">
        <v>69.5</v>
      </c>
      <c r="BC12" s="12" t="n">
        <v>68.3</v>
      </c>
      <c r="BD12" s="11"/>
      <c r="BE12" s="11"/>
      <c r="BF12" s="11"/>
      <c r="BG12" s="11"/>
      <c r="BH12" s="11"/>
      <c r="BI12" s="11"/>
      <c r="BJ12" s="11"/>
    </row>
    <row r="13" customFormat="false" ht="4.5" hidden="false" customHeight="true" outlineLevel="0" collapsed="false"/>
    <row r="14" customFormat="false" ht="18" hidden="false" customHeight="true" outlineLevel="0" collapsed="false">
      <c r="A14" s="7" t="s">
        <v>34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customFormat="false" ht="18" hidden="false" customHeight="true" outlineLevel="0" collapsed="false">
      <c r="A15" s="8" t="s">
        <v>35</v>
      </c>
      <c r="B15" s="9" t="s">
        <v>36</v>
      </c>
      <c r="C15" s="10" t="n">
        <v>10.57</v>
      </c>
      <c r="D15" s="10" t="n">
        <v>10.57</v>
      </c>
      <c r="E15" s="10" t="n">
        <v>10.57</v>
      </c>
      <c r="F15" s="10" t="n">
        <v>10.57</v>
      </c>
      <c r="G15" s="10" t="n">
        <v>10.85</v>
      </c>
      <c r="H15" s="10" t="n">
        <v>10.85</v>
      </c>
      <c r="I15" s="10" t="n">
        <v>10.85</v>
      </c>
      <c r="J15" s="10" t="n">
        <v>10.85</v>
      </c>
      <c r="K15" s="10" t="n">
        <v>10.93</v>
      </c>
      <c r="L15" s="10" t="n">
        <v>10.93</v>
      </c>
      <c r="M15" s="10" t="n">
        <v>10.93</v>
      </c>
      <c r="N15" s="10" t="n">
        <v>10.93</v>
      </c>
      <c r="O15" s="10" t="n">
        <v>11.27</v>
      </c>
      <c r="P15" s="10" t="n">
        <v>11.27</v>
      </c>
      <c r="Q15" s="10" t="n">
        <v>11.27</v>
      </c>
      <c r="R15" s="10" t="n">
        <v>11.27</v>
      </c>
      <c r="S15" s="10" t="n">
        <v>11.52</v>
      </c>
      <c r="T15" s="10" t="n">
        <v>11.52</v>
      </c>
      <c r="U15" s="10" t="n">
        <v>11.52</v>
      </c>
      <c r="V15" s="10" t="n">
        <v>11.52</v>
      </c>
      <c r="W15" s="10" t="n">
        <v>11.52</v>
      </c>
      <c r="X15" s="10" t="n">
        <v>11.52</v>
      </c>
      <c r="Y15" s="10" t="n">
        <v>11.52</v>
      </c>
      <c r="Z15" s="10" t="n">
        <v>11.52</v>
      </c>
      <c r="AA15" s="10" t="n">
        <v>11.65</v>
      </c>
      <c r="AB15" s="10" t="n">
        <v>11.65</v>
      </c>
      <c r="AC15" s="10" t="n">
        <v>11.65</v>
      </c>
      <c r="AD15" s="10" t="n">
        <v>11.65</v>
      </c>
      <c r="AE15" s="10" t="n">
        <v>11.65</v>
      </c>
      <c r="AF15" s="10" t="n">
        <v>11.65</v>
      </c>
      <c r="AG15" s="10" t="n">
        <v>11.65</v>
      </c>
      <c r="AH15" s="10" t="n">
        <v>11.65</v>
      </c>
      <c r="AI15" s="10" t="n">
        <v>11.65</v>
      </c>
      <c r="AJ15" s="10" t="n">
        <v>11.65</v>
      </c>
      <c r="AK15" s="10" t="n">
        <v>11.88</v>
      </c>
      <c r="AL15" s="10" t="n">
        <v>11.88</v>
      </c>
      <c r="AM15" s="10" t="n">
        <v>11.88</v>
      </c>
      <c r="AN15" s="10" t="n">
        <v>11.88</v>
      </c>
      <c r="AO15" s="10" t="n">
        <v>11.88</v>
      </c>
      <c r="AP15" s="10" t="n">
        <v>11.88</v>
      </c>
      <c r="AQ15" s="10" t="n">
        <v>11.88</v>
      </c>
      <c r="AR15" s="10" t="n">
        <v>11.88</v>
      </c>
      <c r="AS15" s="10" t="n">
        <v>11.88</v>
      </c>
      <c r="AT15" s="10" t="n">
        <v>11.88</v>
      </c>
      <c r="AU15" s="10" t="n">
        <v>11.88</v>
      </c>
      <c r="AV15" s="10" t="n">
        <v>11.88</v>
      </c>
      <c r="AW15" s="10" t="n">
        <v>11.88</v>
      </c>
      <c r="AX15" s="10" t="n">
        <v>11.88</v>
      </c>
      <c r="AY15" s="10" t="n">
        <v>11.88</v>
      </c>
      <c r="AZ15" s="10" t="n">
        <v>11.88</v>
      </c>
      <c r="BA15" s="10" t="n">
        <v>11.88</v>
      </c>
      <c r="BB15" s="10" t="n">
        <v>11.88</v>
      </c>
      <c r="BC15" s="10" t="n">
        <v>11.88</v>
      </c>
      <c r="BD15" s="11"/>
      <c r="BE15" s="11"/>
      <c r="BF15" s="11"/>
      <c r="BG15" s="11"/>
      <c r="BH15" s="11"/>
      <c r="BI15" s="11"/>
      <c r="BJ15" s="11"/>
    </row>
    <row r="16" customFormat="false" ht="18" hidden="false" customHeight="true" outlineLevel="0" collapsed="false">
      <c r="A16" s="8" t="s">
        <v>37</v>
      </c>
      <c r="B16" s="9" t="s">
        <v>31</v>
      </c>
      <c r="C16" s="10" t="n">
        <v>-0.5</v>
      </c>
      <c r="D16" s="10" t="n">
        <v>-0.5</v>
      </c>
      <c r="E16" s="10" t="n">
        <v>-0.5</v>
      </c>
      <c r="F16" s="10" t="n">
        <v>-0.5</v>
      </c>
      <c r="G16" s="10" t="n">
        <v>-0.5</v>
      </c>
      <c r="H16" s="10" t="n">
        <v>-0.5</v>
      </c>
      <c r="I16" s="10" t="n">
        <v>0</v>
      </c>
      <c r="J16" s="10" t="n">
        <v>0</v>
      </c>
      <c r="K16" s="10" t="n">
        <v>0.75</v>
      </c>
      <c r="L16" s="10" t="n">
        <v>0.75</v>
      </c>
      <c r="M16" s="10" t="n">
        <v>1.5</v>
      </c>
      <c r="N16" s="10" t="n">
        <v>2</v>
      </c>
      <c r="O16" s="10" t="n">
        <v>2</v>
      </c>
      <c r="P16" s="10" t="n">
        <v>2.5</v>
      </c>
      <c r="Q16" s="10" t="n">
        <v>3</v>
      </c>
      <c r="R16" s="10" t="n">
        <v>3.25</v>
      </c>
      <c r="S16" s="10" t="n">
        <v>3.25</v>
      </c>
      <c r="T16" s="10" t="n">
        <v>3.5</v>
      </c>
      <c r="U16" s="10" t="n">
        <v>3.75</v>
      </c>
      <c r="V16" s="10" t="n">
        <v>3.75</v>
      </c>
      <c r="W16" s="10" t="n">
        <v>4</v>
      </c>
      <c r="X16" s="10" t="n">
        <v>4</v>
      </c>
      <c r="Y16" s="10" t="n">
        <v>4</v>
      </c>
      <c r="Z16" s="10" t="n">
        <v>4</v>
      </c>
      <c r="AA16" s="10" t="n">
        <v>4</v>
      </c>
      <c r="AB16" s="10" t="n">
        <v>4</v>
      </c>
      <c r="AC16" s="10" t="n">
        <v>4</v>
      </c>
      <c r="AD16" s="10" t="n">
        <v>4</v>
      </c>
      <c r="AE16" s="10" t="n">
        <v>4</v>
      </c>
      <c r="AF16" s="10" t="n">
        <v>3.75</v>
      </c>
      <c r="AG16" s="10" t="n">
        <v>3.75</v>
      </c>
      <c r="AH16" s="10" t="n">
        <v>3.75</v>
      </c>
      <c r="AI16" s="10" t="n">
        <v>3.5</v>
      </c>
      <c r="AJ16" s="10" t="n">
        <v>3.25</v>
      </c>
      <c r="AK16" s="10" t="n">
        <v>3</v>
      </c>
      <c r="AL16" s="10" t="n">
        <v>3</v>
      </c>
      <c r="AM16" s="10" t="n">
        <v>2.75</v>
      </c>
      <c r="AN16" s="10" t="n">
        <v>2.75</v>
      </c>
      <c r="AO16" s="10" t="n">
        <v>2.5</v>
      </c>
      <c r="AP16" s="10" t="n">
        <v>2.5</v>
      </c>
      <c r="AQ16" s="10" t="n">
        <v>2.25</v>
      </c>
      <c r="AR16" s="10" t="n">
        <v>2.25</v>
      </c>
      <c r="AS16" s="10" t="n">
        <v>2</v>
      </c>
      <c r="AT16" s="10" t="n">
        <v>2</v>
      </c>
      <c r="AU16" s="10" t="n">
        <v>1.75</v>
      </c>
      <c r="AV16" s="10" t="n">
        <v>1.75</v>
      </c>
      <c r="AW16" s="10" t="n">
        <v>1.5</v>
      </c>
      <c r="AX16" s="10" t="n">
        <v>1.5</v>
      </c>
      <c r="AY16" s="10" t="n">
        <v>1.5</v>
      </c>
      <c r="AZ16" s="10" t="n">
        <v>1.5</v>
      </c>
      <c r="BA16" s="10" t="n">
        <v>1.5</v>
      </c>
      <c r="BB16" s="10" t="n">
        <v>2.25</v>
      </c>
      <c r="BC16" s="10" t="n">
        <v>2.25</v>
      </c>
      <c r="BD16" s="11"/>
      <c r="BE16" s="11"/>
      <c r="BF16" s="11"/>
      <c r="BG16" s="11"/>
      <c r="BH16" s="11"/>
      <c r="BI16" s="11"/>
      <c r="BJ16" s="11"/>
    </row>
    <row r="17" customFormat="false" ht="18" hidden="false" customHeight="true" outlineLevel="0" collapsed="false">
      <c r="A17" s="8" t="s">
        <v>38</v>
      </c>
      <c r="B17" s="9" t="s">
        <v>31</v>
      </c>
      <c r="C17" s="10" t="n">
        <v>2.9</v>
      </c>
      <c r="D17" s="10" t="n">
        <v>3.6</v>
      </c>
      <c r="E17" s="10" t="n">
        <v>4.5</v>
      </c>
      <c r="F17" s="10" t="n">
        <v>4.8</v>
      </c>
      <c r="G17" s="10" t="n">
        <v>5.2</v>
      </c>
      <c r="H17" s="10" t="n">
        <v>5.8</v>
      </c>
      <c r="I17" s="10" t="n">
        <v>6.1</v>
      </c>
      <c r="J17" s="10" t="n">
        <v>5.9</v>
      </c>
      <c r="K17" s="10" t="n">
        <v>5.6</v>
      </c>
      <c r="L17" s="10" t="n">
        <v>6.2</v>
      </c>
      <c r="M17" s="10" t="n">
        <v>6.2</v>
      </c>
      <c r="N17" s="10" t="n">
        <v>5.9</v>
      </c>
      <c r="O17" s="10" t="n">
        <v>6</v>
      </c>
      <c r="P17" s="10" t="n">
        <v>6.2</v>
      </c>
      <c r="Q17" s="10" t="n">
        <v>5.6</v>
      </c>
      <c r="R17" s="10" t="n">
        <v>5.9</v>
      </c>
      <c r="S17" s="10" t="n">
        <v>5.1</v>
      </c>
      <c r="T17" s="10" t="n">
        <v>4.5</v>
      </c>
      <c r="U17" s="10" t="n">
        <v>4.3</v>
      </c>
      <c r="V17" s="10" t="n">
        <v>4.9</v>
      </c>
      <c r="W17" s="10" t="n">
        <v>4.9</v>
      </c>
      <c r="X17" s="10" t="n">
        <v>4</v>
      </c>
      <c r="Y17" s="10" t="n">
        <v>3.5</v>
      </c>
      <c r="Z17" s="10" t="n">
        <v>3.7</v>
      </c>
      <c r="AA17" s="10" t="n">
        <v>3.1</v>
      </c>
      <c r="AB17" s="10" t="n">
        <v>3</v>
      </c>
      <c r="AC17" s="10" t="n">
        <v>2.3</v>
      </c>
      <c r="AD17" s="10" t="n">
        <v>2.2</v>
      </c>
      <c r="AE17" s="10" t="n">
        <v>2.3</v>
      </c>
      <c r="AF17" s="10" t="n">
        <v>2.2</v>
      </c>
      <c r="AG17" s="10" t="n">
        <v>2.3</v>
      </c>
      <c r="AH17" s="10" t="n">
        <v>2.2</v>
      </c>
      <c r="AI17" s="10" t="n">
        <v>1.4</v>
      </c>
      <c r="AJ17" s="10" t="n">
        <v>1.2</v>
      </c>
      <c r="AK17" s="10" t="n">
        <v>1.3</v>
      </c>
      <c r="AL17" s="10" t="n">
        <v>1.3</v>
      </c>
      <c r="AM17" s="10" t="n">
        <v>1.8</v>
      </c>
      <c r="AN17" s="10" t="n">
        <v>0.9</v>
      </c>
      <c r="AO17" s="10" t="n">
        <v>0.8</v>
      </c>
      <c r="AP17" s="10" t="n">
        <v>0.8</v>
      </c>
      <c r="AQ17" s="10" t="n">
        <v>0.7</v>
      </c>
      <c r="AR17" s="10" t="n">
        <v>1</v>
      </c>
      <c r="AS17" s="10" t="n">
        <v>1</v>
      </c>
      <c r="AT17" s="10" t="n">
        <v>1.2</v>
      </c>
      <c r="AU17" s="10" t="n">
        <v>1.1</v>
      </c>
      <c r="AV17" s="10" t="n">
        <v>1.2</v>
      </c>
      <c r="AW17" s="10" t="n">
        <v>1</v>
      </c>
      <c r="AX17" s="10" t="n">
        <v>1.3</v>
      </c>
      <c r="AY17" s="10" t="n">
        <v>0.8</v>
      </c>
      <c r="AZ17" s="10" t="n">
        <v>0.9</v>
      </c>
      <c r="BA17" s="10" t="n">
        <v>0.8</v>
      </c>
      <c r="BB17" s="10" t="n">
        <v>0.7</v>
      </c>
      <c r="BC17" s="11"/>
      <c r="BD17" s="11"/>
      <c r="BE17" s="11"/>
      <c r="BF17" s="11"/>
      <c r="BG17" s="11"/>
      <c r="BH17" s="11"/>
      <c r="BI17" s="11"/>
      <c r="BJ17" s="11"/>
    </row>
    <row r="18" customFormat="false" ht="18" hidden="false" customHeight="true" outlineLevel="0" collapsed="false">
      <c r="A18" s="8" t="s">
        <v>39</v>
      </c>
      <c r="B18" s="9" t="s">
        <v>31</v>
      </c>
      <c r="C18" s="13" t="n">
        <v>7.4</v>
      </c>
      <c r="D18" s="13" t="n">
        <v>7.4</v>
      </c>
      <c r="E18" s="13" t="n">
        <v>7.4</v>
      </c>
      <c r="F18" s="13" t="n">
        <v>7.3</v>
      </c>
      <c r="G18" s="13" t="n">
        <v>7.3</v>
      </c>
      <c r="H18" s="13" t="n">
        <v>7.3</v>
      </c>
      <c r="I18" s="13" t="n">
        <v>7.3</v>
      </c>
      <c r="J18" s="13" t="n">
        <v>7.3</v>
      </c>
      <c r="K18" s="13" t="n">
        <v>7.3</v>
      </c>
      <c r="L18" s="13" t="n">
        <v>7.2</v>
      </c>
      <c r="M18" s="13" t="n">
        <v>7.2</v>
      </c>
      <c r="N18" s="13" t="n">
        <v>7.2</v>
      </c>
      <c r="O18" s="13" t="n">
        <v>7.1</v>
      </c>
      <c r="P18" s="13" t="n">
        <v>7.1</v>
      </c>
      <c r="Q18" s="13" t="n">
        <v>7.1</v>
      </c>
      <c r="R18" s="13" t="n">
        <v>7.3</v>
      </c>
      <c r="S18" s="13" t="n">
        <v>7.3</v>
      </c>
      <c r="T18" s="13" t="n">
        <v>7.3</v>
      </c>
      <c r="U18" s="13" t="n">
        <v>7.4</v>
      </c>
      <c r="V18" s="13" t="n">
        <v>7.4</v>
      </c>
      <c r="W18" s="13" t="n">
        <v>7.4</v>
      </c>
      <c r="X18" s="13" t="n">
        <v>7.5</v>
      </c>
      <c r="Y18" s="13" t="n">
        <v>7.5</v>
      </c>
      <c r="Z18" s="13" t="n">
        <v>7.5</v>
      </c>
      <c r="AA18" s="13" t="n">
        <v>7.3</v>
      </c>
      <c r="AB18" s="13" t="n">
        <v>7.3</v>
      </c>
      <c r="AC18" s="13" t="n">
        <v>7.3</v>
      </c>
      <c r="AD18" s="13" t="n">
        <v>7.3</v>
      </c>
      <c r="AE18" s="13" t="n">
        <v>7.3</v>
      </c>
      <c r="AF18" s="13" t="n">
        <v>7.3</v>
      </c>
      <c r="AG18" s="13" t="n">
        <v>7.4</v>
      </c>
      <c r="AH18" s="13" t="n">
        <v>7.4</v>
      </c>
      <c r="AI18" s="13" t="n">
        <v>7.4</v>
      </c>
      <c r="AJ18" s="13" t="n">
        <v>7.3</v>
      </c>
      <c r="AK18" s="13" t="n">
        <v>7.3</v>
      </c>
      <c r="AL18" s="13" t="n">
        <v>7.3</v>
      </c>
      <c r="AM18" s="13" t="n">
        <v>7.4</v>
      </c>
      <c r="AN18" s="13" t="n">
        <v>7.4</v>
      </c>
      <c r="AO18" s="13" t="n">
        <v>7.4</v>
      </c>
      <c r="AP18" s="13" t="n">
        <v>7.5</v>
      </c>
      <c r="AQ18" s="13" t="n">
        <v>7.5</v>
      </c>
      <c r="AR18" s="13" t="n">
        <v>7.5</v>
      </c>
      <c r="AS18" s="13" t="n">
        <v>7.5</v>
      </c>
      <c r="AT18" s="13" t="n">
        <v>7.5</v>
      </c>
      <c r="AU18" s="13" t="n">
        <v>7.5</v>
      </c>
      <c r="AV18" s="13" t="n">
        <v>7.4</v>
      </c>
      <c r="AW18" s="13" t="n">
        <v>7.4</v>
      </c>
      <c r="AX18" s="13" t="n">
        <v>7.4</v>
      </c>
      <c r="AY18" s="13" t="n">
        <v>7.3</v>
      </c>
      <c r="AZ18" s="13" t="n">
        <v>7.3</v>
      </c>
      <c r="BA18" s="13" t="n">
        <v>7.3</v>
      </c>
      <c r="BB18" s="13" t="n">
        <v>7.3</v>
      </c>
      <c r="BC18" s="13" t="n">
        <v>7.3</v>
      </c>
      <c r="BD18" s="11"/>
      <c r="BE18" s="11"/>
      <c r="BF18" s="11"/>
      <c r="BG18" s="11"/>
      <c r="BH18" s="11"/>
      <c r="BI18" s="11"/>
      <c r="BJ18" s="11"/>
    </row>
    <row r="19" customFormat="false" ht="18" hidden="false" customHeight="true" outlineLevel="0" collapsed="false">
      <c r="A19" s="8" t="s">
        <v>40</v>
      </c>
      <c r="B19" s="9" t="s">
        <v>36</v>
      </c>
      <c r="C19" s="10" t="n">
        <v>75.2</v>
      </c>
      <c r="D19" s="10" t="n">
        <v>75.2</v>
      </c>
      <c r="E19" s="10" t="n">
        <v>75.2</v>
      </c>
      <c r="F19" s="10" t="n">
        <v>75.2</v>
      </c>
      <c r="G19" s="10" t="n">
        <v>75.2</v>
      </c>
      <c r="H19" s="10" t="n">
        <v>75.2</v>
      </c>
      <c r="I19" s="10" t="n">
        <v>75.2</v>
      </c>
      <c r="J19" s="10" t="n">
        <v>75.2</v>
      </c>
      <c r="K19" s="10" t="n">
        <v>75.2</v>
      </c>
      <c r="L19" s="10" t="n">
        <v>75.2</v>
      </c>
      <c r="M19" s="10" t="n">
        <v>75.2</v>
      </c>
      <c r="N19" s="10" t="n">
        <v>75.2</v>
      </c>
      <c r="O19" s="10" t="n">
        <v>84.1</v>
      </c>
      <c r="P19" s="10" t="n">
        <v>84.1</v>
      </c>
      <c r="Q19" s="10" t="n">
        <v>84.1</v>
      </c>
      <c r="R19" s="10" t="n">
        <v>84.1</v>
      </c>
      <c r="S19" s="10" t="n">
        <v>84.1</v>
      </c>
      <c r="T19" s="10" t="n">
        <v>84.1</v>
      </c>
      <c r="U19" s="10" t="n">
        <v>84.1</v>
      </c>
      <c r="V19" s="10" t="n">
        <v>84.1</v>
      </c>
      <c r="W19" s="10" t="n">
        <v>84.1</v>
      </c>
      <c r="X19" s="10" t="n">
        <v>84.1</v>
      </c>
      <c r="Y19" s="10" t="n">
        <v>84.1</v>
      </c>
      <c r="Z19" s="10" t="n">
        <v>84.1</v>
      </c>
      <c r="AA19" s="10" t="n">
        <v>86.4</v>
      </c>
      <c r="AB19" s="10" t="n">
        <v>86.4</v>
      </c>
      <c r="AC19" s="10" t="n">
        <v>86.4</v>
      </c>
      <c r="AD19" s="10" t="n">
        <v>86.4</v>
      </c>
      <c r="AE19" s="10" t="n">
        <v>86.4</v>
      </c>
      <c r="AF19" s="10" t="n">
        <v>86.4</v>
      </c>
      <c r="AG19" s="10" t="n">
        <v>86.4</v>
      </c>
      <c r="AH19" s="10" t="n">
        <v>86.4</v>
      </c>
      <c r="AI19" s="10" t="n">
        <v>86.4</v>
      </c>
      <c r="AJ19" s="10" t="n">
        <v>86.4</v>
      </c>
      <c r="AK19" s="10" t="n">
        <v>86.4</v>
      </c>
      <c r="AL19" s="10" t="n">
        <v>86.4</v>
      </c>
      <c r="AM19" s="10" t="n">
        <v>88.8</v>
      </c>
      <c r="AN19" s="10" t="n">
        <v>88.8</v>
      </c>
      <c r="AO19" s="10" t="n">
        <v>88.8</v>
      </c>
      <c r="AP19" s="10" t="n">
        <v>88.8</v>
      </c>
      <c r="AQ19" s="10" t="n">
        <v>88.8</v>
      </c>
      <c r="AR19" s="10" t="n">
        <v>88.8</v>
      </c>
      <c r="AS19" s="10" t="n">
        <v>88.8</v>
      </c>
      <c r="AT19" s="10" t="n">
        <v>88.8</v>
      </c>
      <c r="AU19" s="10" t="n">
        <v>88.8</v>
      </c>
      <c r="AV19" s="10" t="n">
        <v>88.8</v>
      </c>
      <c r="AW19" s="10" t="n">
        <v>88.8</v>
      </c>
      <c r="AX19" s="10" t="n">
        <v>88.8</v>
      </c>
      <c r="AY19" s="10" t="n">
        <v>88.8</v>
      </c>
      <c r="AZ19" s="10" t="n">
        <v>88.8</v>
      </c>
      <c r="BA19" s="10" t="n">
        <v>88.8</v>
      </c>
      <c r="BB19" s="10" t="n">
        <v>88.8</v>
      </c>
      <c r="BC19" s="10" t="n">
        <v>88.8</v>
      </c>
      <c r="BD19" s="11"/>
      <c r="BE19" s="11"/>
      <c r="BF19" s="11"/>
      <c r="BG19" s="11"/>
      <c r="BH19" s="11"/>
      <c r="BI19" s="11"/>
      <c r="BJ19" s="11"/>
    </row>
    <row r="20" customFormat="false" ht="18" hidden="false" customHeight="true" outlineLevel="0" collapsed="false">
      <c r="A20" s="8" t="s">
        <v>41</v>
      </c>
      <c r="B20" s="9" t="s">
        <v>36</v>
      </c>
      <c r="C20" s="12" t="n">
        <v>0.9</v>
      </c>
      <c r="D20" s="12" t="n">
        <v>0.9</v>
      </c>
      <c r="E20" s="12" t="n">
        <v>0.93</v>
      </c>
      <c r="F20" s="12" t="n">
        <v>0.93</v>
      </c>
      <c r="G20" s="12" t="n">
        <v>0.95</v>
      </c>
      <c r="H20" s="12" t="n">
        <v>0.98</v>
      </c>
      <c r="I20" s="12" t="n">
        <v>0.99</v>
      </c>
      <c r="J20" s="12" t="n">
        <v>1.01</v>
      </c>
      <c r="K20" s="12" t="n">
        <v>1.05</v>
      </c>
      <c r="L20" s="12" t="n">
        <v>1.07</v>
      </c>
      <c r="M20" s="12" t="n">
        <v>1.09</v>
      </c>
      <c r="N20" s="12" t="n">
        <v>1.1</v>
      </c>
      <c r="O20" s="12" t="n">
        <v>1.13</v>
      </c>
      <c r="P20" s="12" t="n">
        <v>1.15</v>
      </c>
      <c r="Q20" s="12" t="n">
        <v>1.16</v>
      </c>
      <c r="R20" s="12" t="n">
        <v>1.17</v>
      </c>
      <c r="S20" s="12" t="n">
        <v>1.18</v>
      </c>
      <c r="T20" s="12" t="n">
        <v>1.18</v>
      </c>
      <c r="U20" s="12" t="n">
        <v>1.19</v>
      </c>
      <c r="V20" s="12" t="n">
        <v>1.19</v>
      </c>
      <c r="W20" s="12" t="n">
        <v>1.19</v>
      </c>
      <c r="X20" s="12" t="n">
        <v>1.2</v>
      </c>
      <c r="Y20" s="12" t="n">
        <v>1.2</v>
      </c>
      <c r="Z20" s="12" t="n">
        <v>1.2</v>
      </c>
      <c r="AA20" s="12" t="n">
        <v>1.2</v>
      </c>
      <c r="AB20" s="12" t="n">
        <v>1.2</v>
      </c>
      <c r="AC20" s="12" t="n">
        <v>1.2</v>
      </c>
      <c r="AD20" s="12" t="n">
        <v>1.21</v>
      </c>
      <c r="AE20" s="12" t="n">
        <v>1.21</v>
      </c>
      <c r="AF20" s="12" t="n">
        <v>1.21</v>
      </c>
      <c r="AG20" s="12" t="n">
        <v>1.22</v>
      </c>
      <c r="AH20" s="12" t="n">
        <v>1.22</v>
      </c>
      <c r="AI20" s="12" t="n">
        <v>1.22</v>
      </c>
      <c r="AJ20" s="12" t="n">
        <v>1.22</v>
      </c>
      <c r="AK20" s="12" t="n">
        <v>1.22</v>
      </c>
      <c r="AL20" s="12" t="n">
        <v>1.22</v>
      </c>
      <c r="AM20" s="12" t="n">
        <v>1.23</v>
      </c>
      <c r="AN20" s="12" t="n">
        <v>1.23</v>
      </c>
      <c r="AO20" s="12" t="n">
        <v>1.23</v>
      </c>
      <c r="AP20" s="12" t="n">
        <v>1.23</v>
      </c>
      <c r="AQ20" s="12" t="n">
        <v>1.23</v>
      </c>
      <c r="AR20" s="12" t="n">
        <v>1.23</v>
      </c>
      <c r="AS20" s="12" t="n">
        <v>1.23</v>
      </c>
      <c r="AT20" s="12" t="n">
        <v>1.23</v>
      </c>
      <c r="AU20" s="12" t="n">
        <v>1.23</v>
      </c>
      <c r="AV20" s="12" t="n">
        <v>1.24</v>
      </c>
      <c r="AW20" s="12" t="n">
        <v>1.24</v>
      </c>
      <c r="AX20" s="12" t="n">
        <v>1.24</v>
      </c>
      <c r="AY20" s="12" t="n">
        <v>1.24</v>
      </c>
      <c r="AZ20" s="12" t="n">
        <v>1.24</v>
      </c>
      <c r="BA20" s="12" t="n">
        <v>1.24</v>
      </c>
      <c r="BB20" s="12" t="n">
        <v>1.25</v>
      </c>
      <c r="BC20" s="12" t="n">
        <v>1.25</v>
      </c>
      <c r="BD20" s="11"/>
      <c r="BE20" s="11"/>
      <c r="BF20" s="11"/>
      <c r="BG20" s="11"/>
      <c r="BH20" s="11"/>
      <c r="BI20" s="11"/>
      <c r="BJ20" s="11"/>
    </row>
    <row r="21" customFormat="false" ht="18" hidden="false" customHeight="true" outlineLevel="0" collapsed="false">
      <c r="A21" s="8" t="s">
        <v>42</v>
      </c>
      <c r="B21" s="9" t="s">
        <v>43</v>
      </c>
      <c r="C21" s="10" t="n">
        <v>-4.8</v>
      </c>
      <c r="D21" s="10" t="n">
        <v>-4.8</v>
      </c>
      <c r="E21" s="10" t="n">
        <v>-4.8</v>
      </c>
      <c r="F21" s="10" t="n">
        <v>-4.8</v>
      </c>
      <c r="G21" s="10" t="n">
        <v>-4.8</v>
      </c>
      <c r="H21" s="10" t="n">
        <v>-4.8</v>
      </c>
      <c r="I21" s="10" t="n">
        <v>-4.8</v>
      </c>
      <c r="J21" s="10" t="n">
        <v>-4.8</v>
      </c>
      <c r="K21" s="10" t="n">
        <v>-4.8</v>
      </c>
      <c r="L21" s="10" t="n">
        <v>-4.8</v>
      </c>
      <c r="M21" s="10" t="n">
        <v>-4.8</v>
      </c>
      <c r="N21" s="10" t="n">
        <v>-4.8</v>
      </c>
      <c r="O21" s="10" t="n">
        <v>-5.5</v>
      </c>
      <c r="P21" s="10" t="n">
        <v>-5.5</v>
      </c>
      <c r="Q21" s="10" t="n">
        <v>-5.5</v>
      </c>
      <c r="R21" s="10" t="n">
        <v>-5.5</v>
      </c>
      <c r="S21" s="10" t="n">
        <v>-5.5</v>
      </c>
      <c r="T21" s="10" t="n">
        <v>-5.5</v>
      </c>
      <c r="U21" s="10" t="n">
        <v>-5.5</v>
      </c>
      <c r="V21" s="10" t="n">
        <v>-5.5</v>
      </c>
      <c r="W21" s="10" t="n">
        <v>-5.5</v>
      </c>
      <c r="X21" s="10" t="n">
        <v>-5.5</v>
      </c>
      <c r="Y21" s="10" t="n">
        <v>-5.5</v>
      </c>
      <c r="Z21" s="10" t="n">
        <v>-5.5</v>
      </c>
      <c r="AA21" s="10" t="n">
        <v>-6.1</v>
      </c>
      <c r="AB21" s="10" t="n">
        <v>-6.1</v>
      </c>
      <c r="AC21" s="10" t="n">
        <v>-6.1</v>
      </c>
      <c r="AD21" s="10" t="n">
        <v>-6.1</v>
      </c>
      <c r="AE21" s="10" t="n">
        <v>-6.1</v>
      </c>
      <c r="AF21" s="10" t="n">
        <v>-6.1</v>
      </c>
      <c r="AG21" s="10" t="n">
        <v>-6.1</v>
      </c>
      <c r="AH21" s="10" t="n">
        <v>-6.1</v>
      </c>
      <c r="AI21" s="10" t="n">
        <v>-6.1</v>
      </c>
      <c r="AJ21" s="10" t="n">
        <v>-6.1</v>
      </c>
      <c r="AK21" s="10" t="n">
        <v>-6.1</v>
      </c>
      <c r="AL21" s="10" t="n">
        <v>-6.1</v>
      </c>
      <c r="AM21" s="10" t="n">
        <v>-5.8</v>
      </c>
      <c r="AN21" s="10" t="n">
        <v>-5.8</v>
      </c>
      <c r="AO21" s="10" t="n">
        <v>-5.8</v>
      </c>
      <c r="AP21" s="10" t="n">
        <v>-5.8</v>
      </c>
      <c r="AQ21" s="10" t="n">
        <v>-5.8</v>
      </c>
      <c r="AR21" s="10" t="n">
        <v>-5.8</v>
      </c>
      <c r="AS21" s="10" t="n">
        <v>-5.8</v>
      </c>
      <c r="AT21" s="10" t="n">
        <v>-5.8</v>
      </c>
      <c r="AU21" s="10" t="n">
        <v>-5.8</v>
      </c>
      <c r="AV21" s="10" t="n">
        <v>-5.8</v>
      </c>
      <c r="AW21" s="10" t="n">
        <v>-5.8</v>
      </c>
      <c r="AX21" s="10" t="n">
        <v>-5.8</v>
      </c>
      <c r="AY21" s="10" t="n">
        <v>-5.8</v>
      </c>
      <c r="AZ21" s="10" t="n">
        <v>-5.8</v>
      </c>
      <c r="BA21" s="10" t="n">
        <v>-5.8</v>
      </c>
      <c r="BB21" s="10" t="n">
        <v>-5.8</v>
      </c>
      <c r="BC21" s="10" t="n">
        <v>-5.8</v>
      </c>
      <c r="BD21" s="11"/>
      <c r="BE21" s="11"/>
      <c r="BF21" s="11"/>
      <c r="BG21" s="11"/>
      <c r="BH21" s="11"/>
      <c r="BI21" s="11"/>
      <c r="BJ21" s="11"/>
    </row>
    <row r="22" customFormat="false" ht="18" hidden="false" customHeight="true" outlineLevel="0" collapsed="false">
      <c r="A22" s="8" t="s">
        <v>44</v>
      </c>
      <c r="B22" s="9" t="s">
        <v>27</v>
      </c>
      <c r="C22" s="12" t="n">
        <v>99</v>
      </c>
      <c r="D22" s="12" t="n">
        <v>96</v>
      </c>
      <c r="E22" s="12" t="n">
        <v>91</v>
      </c>
      <c r="F22" s="12" t="n">
        <v>88</v>
      </c>
      <c r="G22" s="12" t="n">
        <v>88</v>
      </c>
      <c r="H22" s="12" t="n">
        <v>82</v>
      </c>
      <c r="I22" s="12" t="n">
        <v>80</v>
      </c>
      <c r="J22" s="12" t="n">
        <v>82</v>
      </c>
      <c r="K22" s="12" t="n">
        <v>79</v>
      </c>
      <c r="L22" s="12" t="n">
        <v>82</v>
      </c>
      <c r="M22" s="12" t="n">
        <v>83</v>
      </c>
      <c r="N22" s="12" t="n">
        <v>82</v>
      </c>
      <c r="O22" s="12" t="n">
        <v>80</v>
      </c>
      <c r="P22" s="12" t="n">
        <v>81</v>
      </c>
      <c r="Q22" s="12" t="n">
        <v>82</v>
      </c>
      <c r="R22" s="12" t="n">
        <v>84</v>
      </c>
      <c r="S22" s="12" t="n">
        <v>83</v>
      </c>
      <c r="T22" s="12" t="n">
        <v>84</v>
      </c>
      <c r="U22" s="12" t="n">
        <v>86</v>
      </c>
      <c r="V22" s="12" t="n">
        <v>86</v>
      </c>
      <c r="W22" s="12" t="n">
        <v>84</v>
      </c>
      <c r="X22" s="12" t="n">
        <v>83</v>
      </c>
      <c r="Y22" s="12" t="n">
        <v>86</v>
      </c>
      <c r="Z22" s="12" t="n">
        <v>87</v>
      </c>
      <c r="AA22" s="12" t="n">
        <v>89</v>
      </c>
      <c r="AB22" s="12" t="n">
        <v>89</v>
      </c>
      <c r="AC22" s="12" t="n">
        <v>90</v>
      </c>
      <c r="AD22" s="12" t="n">
        <v>91</v>
      </c>
      <c r="AE22" s="12" t="n">
        <v>91</v>
      </c>
      <c r="AF22" s="12" t="n">
        <v>90</v>
      </c>
      <c r="AG22" s="12" t="n">
        <v>91</v>
      </c>
      <c r="AH22" s="12" t="n">
        <v>91</v>
      </c>
      <c r="AI22" s="12" t="n">
        <v>92</v>
      </c>
      <c r="AJ22" s="12" t="n">
        <v>93</v>
      </c>
      <c r="AK22" s="12" t="n">
        <v>94</v>
      </c>
      <c r="AL22" s="12" t="n">
        <v>92</v>
      </c>
      <c r="AM22" s="12" t="n">
        <v>91</v>
      </c>
      <c r="AN22" s="12" t="n">
        <v>91</v>
      </c>
      <c r="AO22" s="12" t="n">
        <v>90</v>
      </c>
      <c r="AP22" s="12" t="n">
        <v>89</v>
      </c>
      <c r="AQ22" s="12" t="n">
        <v>90</v>
      </c>
      <c r="AR22" s="12" t="n">
        <v>91</v>
      </c>
      <c r="AS22" s="12" t="n">
        <v>91</v>
      </c>
      <c r="AT22" s="12" t="n">
        <v>90</v>
      </c>
      <c r="AU22" s="12" t="n">
        <v>90</v>
      </c>
      <c r="AV22" s="12" t="n">
        <v>89</v>
      </c>
      <c r="AW22" s="12" t="n">
        <v>90</v>
      </c>
      <c r="AX22" s="12" t="n">
        <v>90</v>
      </c>
      <c r="AY22" s="12" t="n">
        <v>91</v>
      </c>
      <c r="AZ22" s="12" t="n">
        <v>90</v>
      </c>
      <c r="BA22" s="12" t="n">
        <v>89</v>
      </c>
      <c r="BB22" s="12" t="n">
        <v>90</v>
      </c>
      <c r="BC22" s="11"/>
      <c r="BD22" s="11"/>
      <c r="BE22" s="11"/>
      <c r="BF22" s="11"/>
      <c r="BG22" s="11"/>
      <c r="BH22" s="11"/>
      <c r="BI22" s="11"/>
      <c r="BJ22" s="11"/>
    </row>
    <row r="23" customFormat="false" ht="4.5" hidden="false" customHeight="true" outlineLevel="0" collapsed="false"/>
    <row r="24" customFormat="false" ht="18" hidden="false" customHeight="true" outlineLevel="0" collapsed="false">
      <c r="A24" s="7" t="s">
        <v>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customFormat="false" ht="18" hidden="false" customHeight="true" outlineLevel="0" collapsed="false">
      <c r="A25" s="8" t="s">
        <v>46</v>
      </c>
      <c r="B25" s="9" t="s">
        <v>27</v>
      </c>
      <c r="C25" s="13" t="n">
        <v>1948</v>
      </c>
      <c r="D25" s="13" t="n">
        <v>1948</v>
      </c>
      <c r="E25" s="13" t="n">
        <v>1948</v>
      </c>
      <c r="F25" s="13" t="n">
        <v>1966</v>
      </c>
      <c r="G25" s="13" t="n">
        <v>1966</v>
      </c>
      <c r="H25" s="13" t="n">
        <v>1966</v>
      </c>
      <c r="I25" s="13" t="n">
        <v>2037</v>
      </c>
      <c r="J25" s="13" t="n">
        <v>2037</v>
      </c>
      <c r="K25" s="13" t="n">
        <v>2037</v>
      </c>
      <c r="L25" s="13" t="n">
        <v>2052</v>
      </c>
      <c r="M25" s="13" t="n">
        <v>2052</v>
      </c>
      <c r="N25" s="13" t="n">
        <v>2052</v>
      </c>
      <c r="O25" s="13" t="n">
        <v>2077</v>
      </c>
      <c r="P25" s="13" t="n">
        <v>2077</v>
      </c>
      <c r="Q25" s="13" t="n">
        <v>2077</v>
      </c>
      <c r="R25" s="13" t="n">
        <v>2123</v>
      </c>
      <c r="S25" s="13" t="n">
        <v>2123</v>
      </c>
      <c r="T25" s="13" t="n">
        <v>2123</v>
      </c>
      <c r="U25" s="13" t="n">
        <v>2106</v>
      </c>
      <c r="V25" s="13" t="n">
        <v>2106</v>
      </c>
      <c r="W25" s="13" t="n">
        <v>2106</v>
      </c>
      <c r="X25" s="13" t="n">
        <v>2162</v>
      </c>
      <c r="Y25" s="13" t="n">
        <v>2162</v>
      </c>
      <c r="Z25" s="13" t="n">
        <v>2162</v>
      </c>
      <c r="AA25" s="13" t="n">
        <v>2227</v>
      </c>
      <c r="AB25" s="13" t="n">
        <v>2227</v>
      </c>
      <c r="AC25" s="13" t="n">
        <v>2227</v>
      </c>
      <c r="AD25" s="13" t="n">
        <v>2205</v>
      </c>
      <c r="AE25" s="13" t="n">
        <v>2205</v>
      </c>
      <c r="AF25" s="13" t="n">
        <v>2205</v>
      </c>
      <c r="AG25" s="13" t="n">
        <v>2143</v>
      </c>
      <c r="AH25" s="13" t="n">
        <v>2143</v>
      </c>
      <c r="AI25" s="13" t="n">
        <v>2143</v>
      </c>
      <c r="AJ25" s="13" t="n">
        <v>2108</v>
      </c>
      <c r="AK25" s="13" t="n">
        <v>2108</v>
      </c>
      <c r="AL25" s="13" t="n">
        <v>2108</v>
      </c>
      <c r="AM25" s="13" t="n">
        <v>2146</v>
      </c>
      <c r="AN25" s="13" t="n">
        <v>2146</v>
      </c>
      <c r="AO25" s="13" t="n">
        <v>2146</v>
      </c>
      <c r="AP25" s="13" t="n">
        <v>2086</v>
      </c>
      <c r="AQ25" s="13" t="n">
        <v>2086</v>
      </c>
      <c r="AR25" s="13" t="n">
        <v>2086</v>
      </c>
      <c r="AS25" s="13" t="n">
        <v>2056</v>
      </c>
      <c r="AT25" s="13" t="n">
        <v>2056</v>
      </c>
      <c r="AU25" s="13" t="n">
        <v>2056</v>
      </c>
      <c r="AV25" s="13" t="n">
        <v>2058</v>
      </c>
      <c r="AW25" s="13" t="n">
        <v>2058</v>
      </c>
      <c r="AX25" s="13" t="n">
        <v>2058</v>
      </c>
      <c r="AY25" s="13" t="n">
        <v>2058</v>
      </c>
      <c r="AZ25" s="13" t="n">
        <v>2058</v>
      </c>
      <c r="BA25" s="13" t="n">
        <v>2058</v>
      </c>
      <c r="BB25" s="13" t="n">
        <v>2058</v>
      </c>
      <c r="BC25" s="13" t="n">
        <v>2058</v>
      </c>
      <c r="BD25" s="11"/>
      <c r="BE25" s="11"/>
      <c r="BF25" s="11"/>
      <c r="BG25" s="11"/>
      <c r="BH25" s="11"/>
      <c r="BI25" s="11"/>
      <c r="BJ25" s="11"/>
    </row>
    <row r="26" customFormat="false" ht="18" hidden="false" customHeight="true" outlineLevel="0" collapsed="false">
      <c r="A26" s="8" t="s">
        <v>47</v>
      </c>
      <c r="B26" s="9" t="s">
        <v>27</v>
      </c>
      <c r="C26" s="13" t="n">
        <v>120.61</v>
      </c>
      <c r="D26" s="13" t="n">
        <v>120.61</v>
      </c>
      <c r="E26" s="13" t="n">
        <v>120.61</v>
      </c>
      <c r="F26" s="13" t="n">
        <v>123.65</v>
      </c>
      <c r="G26" s="13" t="n">
        <v>123.65</v>
      </c>
      <c r="H26" s="13" t="n">
        <v>123.65</v>
      </c>
      <c r="I26" s="13" t="n">
        <v>126.13</v>
      </c>
      <c r="J26" s="13" t="n">
        <v>126.13</v>
      </c>
      <c r="K26" s="13" t="n">
        <v>126.13</v>
      </c>
      <c r="L26" s="13" t="n">
        <v>126.05</v>
      </c>
      <c r="M26" s="13" t="n">
        <v>126.05</v>
      </c>
      <c r="N26" s="13" t="n">
        <v>126.05</v>
      </c>
      <c r="O26" s="13" t="n">
        <v>128.68</v>
      </c>
      <c r="P26" s="13" t="n">
        <v>128.68</v>
      </c>
      <c r="Q26" s="13" t="n">
        <v>128.68</v>
      </c>
      <c r="R26" s="13" t="n">
        <v>131.81</v>
      </c>
      <c r="S26" s="13" t="n">
        <v>131.81</v>
      </c>
      <c r="T26" s="13" t="n">
        <v>131.81</v>
      </c>
      <c r="U26" s="13" t="n">
        <v>133.66</v>
      </c>
      <c r="V26" s="13" t="n">
        <v>133.66</v>
      </c>
      <c r="W26" s="13" t="n">
        <v>133.66</v>
      </c>
      <c r="X26" s="13" t="n">
        <v>132.63</v>
      </c>
      <c r="Y26" s="13" t="n">
        <v>132.63</v>
      </c>
      <c r="Z26" s="13" t="n">
        <v>132.63</v>
      </c>
      <c r="AA26" s="13" t="n">
        <v>134.58</v>
      </c>
      <c r="AB26" s="13" t="n">
        <v>134.58</v>
      </c>
      <c r="AC26" s="13" t="n">
        <v>134.58</v>
      </c>
      <c r="AD26" s="13" t="n">
        <v>136.72</v>
      </c>
      <c r="AE26" s="13" t="n">
        <v>136.72</v>
      </c>
      <c r="AF26" s="13" t="n">
        <v>136.72</v>
      </c>
      <c r="AG26" s="13" t="n">
        <v>137.71</v>
      </c>
      <c r="AH26" s="13" t="n">
        <v>137.71</v>
      </c>
      <c r="AI26" s="13" t="n">
        <v>137.71</v>
      </c>
      <c r="AJ26" s="13" t="n">
        <v>135.3</v>
      </c>
      <c r="AK26" s="13" t="n">
        <v>135.3</v>
      </c>
      <c r="AL26" s="13" t="n">
        <v>135.3</v>
      </c>
      <c r="AM26" s="13" t="n">
        <v>135.87</v>
      </c>
      <c r="AN26" s="13" t="n">
        <v>135.87</v>
      </c>
      <c r="AO26" s="13" t="n">
        <v>135.87</v>
      </c>
      <c r="AP26" s="13" t="n">
        <v>136.81</v>
      </c>
      <c r="AQ26" s="13" t="n">
        <v>136.81</v>
      </c>
      <c r="AR26" s="13" t="n">
        <v>136.81</v>
      </c>
      <c r="AS26" s="13" t="n">
        <v>137.09</v>
      </c>
      <c r="AT26" s="13" t="n">
        <v>137.09</v>
      </c>
      <c r="AU26" s="13" t="n">
        <v>137.09</v>
      </c>
      <c r="AV26" s="13" t="n">
        <v>134.62</v>
      </c>
      <c r="AW26" s="13" t="n">
        <v>134.62</v>
      </c>
      <c r="AX26" s="13" t="n">
        <v>134.62</v>
      </c>
      <c r="AY26" s="13" t="n">
        <v>134.62</v>
      </c>
      <c r="AZ26" s="13" t="n">
        <v>134.62</v>
      </c>
      <c r="BA26" s="13" t="n">
        <v>134.62</v>
      </c>
      <c r="BB26" s="13" t="n">
        <v>134.62</v>
      </c>
      <c r="BC26" s="13" t="n">
        <v>134.62</v>
      </c>
      <c r="BD26" s="11"/>
      <c r="BE26" s="11"/>
      <c r="BF26" s="11"/>
      <c r="BG26" s="11"/>
      <c r="BH26" s="11"/>
      <c r="BI26" s="11"/>
      <c r="BJ26" s="11"/>
    </row>
    <row r="27" customFormat="false" ht="18" hidden="false" customHeight="true" outlineLevel="0" collapsed="false">
      <c r="A27" s="8" t="s">
        <v>48</v>
      </c>
      <c r="B27" s="9" t="s">
        <v>27</v>
      </c>
      <c r="C27" s="13" t="n">
        <v>120.73</v>
      </c>
      <c r="D27" s="13" t="n">
        <v>120.73</v>
      </c>
      <c r="E27" s="13" t="n">
        <v>120.73</v>
      </c>
      <c r="F27" s="13" t="n">
        <v>122.65</v>
      </c>
      <c r="G27" s="13" t="n">
        <v>122.65</v>
      </c>
      <c r="H27" s="13" t="n">
        <v>122.65</v>
      </c>
      <c r="I27" s="13" t="n">
        <v>124.53</v>
      </c>
      <c r="J27" s="13" t="n">
        <v>124.53</v>
      </c>
      <c r="K27" s="13" t="n">
        <v>124.53</v>
      </c>
      <c r="L27" s="13" t="n">
        <v>126.66</v>
      </c>
      <c r="M27" s="13" t="n">
        <v>126.66</v>
      </c>
      <c r="N27" s="13" t="n">
        <v>126.66</v>
      </c>
      <c r="O27" s="13" t="n">
        <v>128.59</v>
      </c>
      <c r="P27" s="13" t="n">
        <v>128.59</v>
      </c>
      <c r="Q27" s="13" t="n">
        <v>128.59</v>
      </c>
      <c r="R27" s="13" t="n">
        <v>130.64</v>
      </c>
      <c r="S27" s="13" t="n">
        <v>130.64</v>
      </c>
      <c r="T27" s="13" t="n">
        <v>130.64</v>
      </c>
      <c r="U27" s="13" t="n">
        <v>132.15</v>
      </c>
      <c r="V27" s="13" t="n">
        <v>132.15</v>
      </c>
      <c r="W27" s="13" t="n">
        <v>132.15</v>
      </c>
      <c r="X27" s="13" t="n">
        <v>133.69</v>
      </c>
      <c r="Y27" s="13" t="n">
        <v>133.69</v>
      </c>
      <c r="Z27" s="13" t="n">
        <v>133.69</v>
      </c>
      <c r="AA27" s="13" t="n">
        <v>135.13</v>
      </c>
      <c r="AB27" s="13" t="n">
        <v>135.13</v>
      </c>
      <c r="AC27" s="13" t="n">
        <v>135.13</v>
      </c>
      <c r="AD27" s="13" t="n">
        <v>136.45</v>
      </c>
      <c r="AE27" s="13" t="n">
        <v>136.45</v>
      </c>
      <c r="AF27" s="13" t="n">
        <v>136.45</v>
      </c>
      <c r="AG27" s="13" t="n">
        <v>137.12</v>
      </c>
      <c r="AH27" s="13" t="n">
        <v>137.12</v>
      </c>
      <c r="AI27" s="13" t="n">
        <v>137.12</v>
      </c>
      <c r="AJ27" s="13" t="n">
        <v>137.29</v>
      </c>
      <c r="AK27" s="13" t="n">
        <v>137.29</v>
      </c>
      <c r="AL27" s="13" t="n">
        <v>137.29</v>
      </c>
      <c r="AM27" s="13" t="n">
        <v>137.29</v>
      </c>
      <c r="AN27" s="13" t="n">
        <v>137.29</v>
      </c>
      <c r="AO27" s="13" t="n">
        <v>137.29</v>
      </c>
      <c r="AP27" s="13" t="n">
        <v>137.15</v>
      </c>
      <c r="AQ27" s="13" t="n">
        <v>137.15</v>
      </c>
      <c r="AR27" s="13" t="n">
        <v>137.15</v>
      </c>
      <c r="AS27" s="13" t="n">
        <v>137.07</v>
      </c>
      <c r="AT27" s="13" t="n">
        <v>137.07</v>
      </c>
      <c r="AU27" s="13" t="n">
        <v>137.07</v>
      </c>
      <c r="AV27" s="13" t="n">
        <v>137.21</v>
      </c>
      <c r="AW27" s="13" t="n">
        <v>137.21</v>
      </c>
      <c r="AX27" s="13" t="n">
        <v>137.21</v>
      </c>
      <c r="AY27" s="13" t="n">
        <v>137.21</v>
      </c>
      <c r="AZ27" s="13" t="n">
        <v>137.21</v>
      </c>
      <c r="BA27" s="13" t="n">
        <v>137.21</v>
      </c>
      <c r="BB27" s="13" t="n">
        <v>137.21</v>
      </c>
      <c r="BC27" s="13" t="n">
        <v>137.21</v>
      </c>
      <c r="BD27" s="11"/>
      <c r="BE27" s="11"/>
      <c r="BF27" s="11"/>
      <c r="BG27" s="11"/>
      <c r="BH27" s="11"/>
      <c r="BI27" s="11"/>
      <c r="BJ27" s="11"/>
    </row>
    <row r="28" customFormat="false" ht="18" hidden="false" customHeight="true" outlineLevel="0" collapsed="false">
      <c r="A28" s="8" t="s">
        <v>49</v>
      </c>
      <c r="B28" s="9" t="s">
        <v>27</v>
      </c>
      <c r="C28" s="13" t="n">
        <v>133.93</v>
      </c>
      <c r="D28" s="13" t="n">
        <v>133.93</v>
      </c>
      <c r="E28" s="13" t="n">
        <v>133.93</v>
      </c>
      <c r="F28" s="13" t="n">
        <v>135.84</v>
      </c>
      <c r="G28" s="13" t="n">
        <v>135.84</v>
      </c>
      <c r="H28" s="13" t="n">
        <v>135.84</v>
      </c>
      <c r="I28" s="13" t="n">
        <v>137.93</v>
      </c>
      <c r="J28" s="13" t="n">
        <v>137.93</v>
      </c>
      <c r="K28" s="13" t="n">
        <v>137.93</v>
      </c>
      <c r="L28" s="13" t="n">
        <v>138.26</v>
      </c>
      <c r="M28" s="13" t="n">
        <v>138.26</v>
      </c>
      <c r="N28" s="13" t="n">
        <v>138.26</v>
      </c>
      <c r="O28" s="13" t="n">
        <v>140.59</v>
      </c>
      <c r="P28" s="13" t="n">
        <v>140.59</v>
      </c>
      <c r="Q28" s="13" t="n">
        <v>140.59</v>
      </c>
      <c r="R28" s="13" t="n">
        <v>142.07</v>
      </c>
      <c r="S28" s="13" t="n">
        <v>142.07</v>
      </c>
      <c r="T28" s="13" t="n">
        <v>142.07</v>
      </c>
      <c r="U28" s="13" t="n">
        <v>143.52</v>
      </c>
      <c r="V28" s="13" t="n">
        <v>143.52</v>
      </c>
      <c r="W28" s="13" t="n">
        <v>143.52</v>
      </c>
      <c r="X28" s="13" t="n">
        <v>141.48</v>
      </c>
      <c r="Y28" s="13" t="n">
        <v>141.48</v>
      </c>
      <c r="Z28" s="13" t="n">
        <v>141.48</v>
      </c>
      <c r="AA28" s="13" t="n">
        <v>142.08</v>
      </c>
      <c r="AB28" s="13" t="n">
        <v>142.08</v>
      </c>
      <c r="AC28" s="13" t="n">
        <v>142.08</v>
      </c>
      <c r="AD28" s="13" t="n">
        <v>143.54</v>
      </c>
      <c r="AE28" s="13" t="n">
        <v>143.54</v>
      </c>
      <c r="AF28" s="13" t="n">
        <v>143.54</v>
      </c>
      <c r="AG28" s="13" t="n">
        <v>144.51</v>
      </c>
      <c r="AH28" s="13" t="n">
        <v>144.51</v>
      </c>
      <c r="AI28" s="13" t="n">
        <v>144.51</v>
      </c>
      <c r="AJ28" s="13" t="n">
        <v>144.89</v>
      </c>
      <c r="AK28" s="13" t="n">
        <v>144.89</v>
      </c>
      <c r="AL28" s="13" t="n">
        <v>144.89</v>
      </c>
      <c r="AM28" s="13" t="n">
        <v>145.28</v>
      </c>
      <c r="AN28" s="13" t="n">
        <v>145.28</v>
      </c>
      <c r="AO28" s="13" t="n">
        <v>145.28</v>
      </c>
      <c r="AP28" s="13" t="n">
        <v>145.59</v>
      </c>
      <c r="AQ28" s="13" t="n">
        <v>145.59</v>
      </c>
      <c r="AR28" s="13" t="n">
        <v>145.59</v>
      </c>
      <c r="AS28" s="13" t="n">
        <v>145.62</v>
      </c>
      <c r="AT28" s="13" t="n">
        <v>145.62</v>
      </c>
      <c r="AU28" s="13" t="n">
        <v>145.62</v>
      </c>
      <c r="AV28" s="13" t="n">
        <v>145.4</v>
      </c>
      <c r="AW28" s="13" t="n">
        <v>145.4</v>
      </c>
      <c r="AX28" s="13" t="n">
        <v>145.4</v>
      </c>
      <c r="AY28" s="13" t="n">
        <v>145.4</v>
      </c>
      <c r="AZ28" s="13" t="n">
        <v>145.4</v>
      </c>
      <c r="BA28" s="13" t="n">
        <v>145.4</v>
      </c>
      <c r="BB28" s="13" t="n">
        <v>145.4</v>
      </c>
      <c r="BC28" s="13" t="n">
        <v>145.4</v>
      </c>
      <c r="BD28" s="11"/>
      <c r="BE28" s="11"/>
      <c r="BF28" s="11"/>
      <c r="BG28" s="11"/>
      <c r="BH28" s="11"/>
      <c r="BI28" s="11"/>
      <c r="BJ28" s="11"/>
    </row>
    <row r="29" customFormat="false" ht="18" hidden="false" customHeight="true" outlineLevel="0" collapsed="false">
      <c r="A29" s="8" t="s">
        <v>50</v>
      </c>
      <c r="B29" s="9" t="s">
        <v>31</v>
      </c>
      <c r="C29" s="12" t="n">
        <v>1.06</v>
      </c>
      <c r="D29" s="12" t="n">
        <v>1.12</v>
      </c>
      <c r="E29" s="12" t="n">
        <v>1.27</v>
      </c>
      <c r="F29" s="12" t="n">
        <v>1.4</v>
      </c>
      <c r="G29" s="12" t="n">
        <v>1.55</v>
      </c>
      <c r="H29" s="12" t="n">
        <v>1.71</v>
      </c>
      <c r="I29" s="12" t="n">
        <v>1.85</v>
      </c>
      <c r="J29" s="12" t="n">
        <v>1.97</v>
      </c>
      <c r="K29" s="12" t="n">
        <v>2.15</v>
      </c>
      <c r="L29" s="12" t="n">
        <v>2.4</v>
      </c>
      <c r="M29" s="12" t="n">
        <v>2.6</v>
      </c>
      <c r="N29" s="12" t="n">
        <v>2.75</v>
      </c>
      <c r="O29" s="12" t="n">
        <v>2.82</v>
      </c>
      <c r="P29" s="12" t="n">
        <v>2.97</v>
      </c>
      <c r="Q29" s="12" t="n">
        <v>3.04</v>
      </c>
      <c r="R29" s="12" t="n">
        <v>3.21</v>
      </c>
      <c r="S29" s="12" t="n">
        <v>3.45</v>
      </c>
      <c r="T29" s="12" t="n">
        <v>3.61</v>
      </c>
      <c r="U29" s="12" t="n">
        <v>3.82</v>
      </c>
      <c r="V29" s="12" t="n">
        <v>3.97</v>
      </c>
      <c r="W29" s="12" t="n">
        <v>4.05</v>
      </c>
      <c r="X29" s="12" t="n">
        <v>4.14</v>
      </c>
      <c r="Y29" s="12" t="n">
        <v>4.22</v>
      </c>
      <c r="Z29" s="12" t="n">
        <v>4.24</v>
      </c>
      <c r="AA29" s="12" t="n">
        <v>4.19</v>
      </c>
      <c r="AB29" s="12" t="n">
        <v>4.1</v>
      </c>
      <c r="AC29" s="12" t="n">
        <v>3.99</v>
      </c>
      <c r="AD29" s="12" t="n">
        <v>3.88</v>
      </c>
      <c r="AE29" s="12" t="n">
        <v>3.79</v>
      </c>
      <c r="AF29" s="12" t="n">
        <v>3.72</v>
      </c>
      <c r="AG29" s="12" t="n">
        <v>3.68</v>
      </c>
      <c r="AH29" s="12" t="n">
        <v>3.6</v>
      </c>
      <c r="AI29" s="12" t="n">
        <v>3.55</v>
      </c>
      <c r="AJ29" s="12" t="n">
        <v>3.5</v>
      </c>
      <c r="AK29" s="12" t="n">
        <v>3.45</v>
      </c>
      <c r="AL29" s="12" t="n">
        <v>3.38</v>
      </c>
      <c r="AM29" s="12" t="n">
        <v>3.34</v>
      </c>
      <c r="AN29" s="12" t="n">
        <v>3.3</v>
      </c>
      <c r="AO29" s="12" t="n">
        <v>3.28</v>
      </c>
      <c r="AP29" s="12" t="n">
        <v>3.25</v>
      </c>
      <c r="AQ29" s="12" t="n">
        <v>3.22</v>
      </c>
      <c r="AR29" s="12" t="n">
        <v>3.18</v>
      </c>
      <c r="AS29" s="12" t="n">
        <v>3.12</v>
      </c>
      <c r="AT29" s="12" t="n">
        <v>3.1</v>
      </c>
      <c r="AU29" s="12" t="n">
        <v>3.07</v>
      </c>
      <c r="AV29" s="12" t="n">
        <v>3.05</v>
      </c>
      <c r="AW29" s="12" t="n">
        <v>3.02</v>
      </c>
      <c r="AX29" s="12" t="n">
        <v>3</v>
      </c>
      <c r="AY29" s="12" t="n">
        <v>2.98</v>
      </c>
      <c r="AZ29" s="12" t="n">
        <v>2.95</v>
      </c>
      <c r="BA29" s="12" t="n">
        <v>2.92</v>
      </c>
      <c r="BB29" s="12" t="n">
        <v>2.9</v>
      </c>
      <c r="BC29" s="12" t="n">
        <v>2.88</v>
      </c>
      <c r="BD29" s="11"/>
      <c r="BE29" s="11"/>
      <c r="BF29" s="11"/>
      <c r="BG29" s="11"/>
      <c r="BH29" s="11"/>
      <c r="BI29" s="11"/>
      <c r="BJ29" s="11"/>
    </row>
    <row r="30" customFormat="false" ht="18" hidden="false" customHeight="true" outlineLevel="0" collapsed="false">
      <c r="A30" s="8" t="s">
        <v>51</v>
      </c>
      <c r="B30" s="9" t="s">
        <v>52</v>
      </c>
      <c r="C30" s="12" t="n">
        <v>1150</v>
      </c>
      <c r="D30" s="12" t="n">
        <v>1140</v>
      </c>
      <c r="E30" s="12" t="n">
        <v>1130</v>
      </c>
      <c r="F30" s="12" t="n">
        <v>1120</v>
      </c>
      <c r="G30" s="12" t="n">
        <v>1110</v>
      </c>
      <c r="H30" s="12" t="n">
        <v>1090</v>
      </c>
      <c r="I30" s="12" t="n">
        <v>1070</v>
      </c>
      <c r="J30" s="12" t="n">
        <v>1050</v>
      </c>
      <c r="K30" s="12" t="n">
        <v>1020</v>
      </c>
      <c r="L30" s="12" t="n">
        <v>1000</v>
      </c>
      <c r="M30" s="12" t="n">
        <v>980</v>
      </c>
      <c r="N30" s="12" t="n">
        <v>960</v>
      </c>
      <c r="O30" s="12" t="n">
        <v>940</v>
      </c>
      <c r="P30" s="12" t="n">
        <v>915</v>
      </c>
      <c r="Q30" s="12" t="n">
        <v>895</v>
      </c>
      <c r="R30" s="12" t="n">
        <v>870</v>
      </c>
      <c r="S30" s="12" t="n">
        <v>850</v>
      </c>
      <c r="T30" s="12" t="n">
        <v>830</v>
      </c>
      <c r="U30" s="12" t="n">
        <v>820</v>
      </c>
      <c r="V30" s="12" t="n">
        <v>800</v>
      </c>
      <c r="W30" s="12" t="n">
        <v>790</v>
      </c>
      <c r="X30" s="12" t="n">
        <v>780</v>
      </c>
      <c r="Y30" s="12" t="n">
        <v>770</v>
      </c>
      <c r="Z30" s="12" t="n">
        <v>760</v>
      </c>
      <c r="AA30" s="12" t="n">
        <v>750</v>
      </c>
      <c r="AB30" s="12" t="n">
        <v>740</v>
      </c>
      <c r="AC30" s="12" t="n">
        <v>735</v>
      </c>
      <c r="AD30" s="12" t="n">
        <v>730</v>
      </c>
      <c r="AE30" s="12" t="n">
        <v>728</v>
      </c>
      <c r="AF30" s="12" t="n">
        <v>730</v>
      </c>
      <c r="AG30" s="12" t="n">
        <v>735</v>
      </c>
      <c r="AH30" s="12" t="n">
        <v>740</v>
      </c>
      <c r="AI30" s="12" t="n">
        <v>745</v>
      </c>
      <c r="AJ30" s="12" t="n">
        <v>750</v>
      </c>
      <c r="AK30" s="12" t="n">
        <v>755</v>
      </c>
      <c r="AL30" s="12" t="n">
        <v>760</v>
      </c>
      <c r="AM30" s="12" t="n">
        <v>762</v>
      </c>
      <c r="AN30" s="12" t="n">
        <v>763</v>
      </c>
      <c r="AO30" s="12" t="n">
        <v>762</v>
      </c>
      <c r="AP30" s="12" t="n">
        <v>765</v>
      </c>
      <c r="AQ30" s="12" t="n">
        <v>768</v>
      </c>
      <c r="AR30" s="12" t="n">
        <v>775</v>
      </c>
      <c r="AS30" s="12" t="n">
        <v>780</v>
      </c>
      <c r="AT30" s="12" t="n">
        <v>785</v>
      </c>
      <c r="AU30" s="12" t="n">
        <v>790</v>
      </c>
      <c r="AV30" s="12" t="n">
        <v>795</v>
      </c>
      <c r="AW30" s="12" t="n">
        <v>800</v>
      </c>
      <c r="AX30" s="12" t="n">
        <v>805</v>
      </c>
      <c r="AY30" s="12" t="n">
        <v>810</v>
      </c>
      <c r="AZ30" s="12" t="n">
        <v>815</v>
      </c>
      <c r="BA30" s="12" t="n">
        <v>818</v>
      </c>
      <c r="BB30" s="12" t="n">
        <v>820</v>
      </c>
      <c r="BC30" s="11"/>
      <c r="BD30" s="11"/>
      <c r="BE30" s="11"/>
      <c r="BF30" s="11"/>
      <c r="BG30" s="11"/>
      <c r="BH30" s="11"/>
      <c r="BI30" s="11"/>
      <c r="BJ30" s="11"/>
    </row>
    <row r="31" customFormat="false" ht="4.5" hidden="false" customHeight="true" outlineLevel="0" collapsed="false"/>
    <row r="32" customFormat="false" ht="27.75" hidden="false" customHeight="true" outlineLevel="0" collapsed="false">
      <c r="A32" s="14" t="s">
        <v>53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</row>
    <row r="34" customFormat="false" ht="6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18" hidden="false" customHeight="true" outlineLevel="0" collapsed="false">
      <c r="A35" s="7" t="s">
        <v>54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customFormat="false" ht="18" hidden="false" customHeight="true" outlineLevel="0" collapsed="false">
      <c r="A36" s="16" t="s">
        <v>55</v>
      </c>
      <c r="B36" s="17" t="s">
        <v>56</v>
      </c>
      <c r="C36" s="18" t="n">
        <f aca="false">IF(C15&lt;&gt;"",ROUND(C15*151.67,2),"")</f>
        <v>1603.15</v>
      </c>
      <c r="D36" s="18" t="n">
        <f aca="false">IF(D15&lt;&gt;"",ROUND(D15*151.67,2),"")</f>
        <v>1603.15</v>
      </c>
      <c r="E36" s="18" t="n">
        <f aca="false">IF(E15&lt;&gt;"",ROUND(E15*151.67,2),"")</f>
        <v>1603.15</v>
      </c>
      <c r="F36" s="18" t="n">
        <f aca="false">IF(F15&lt;&gt;"",ROUND(F15*151.67,2),"")</f>
        <v>1603.15</v>
      </c>
      <c r="G36" s="18" t="n">
        <f aca="false">IF(G15&lt;&gt;"",ROUND(G15*151.67,2),"")</f>
        <v>1645.62</v>
      </c>
      <c r="H36" s="18" t="n">
        <f aca="false">IF(H15&lt;&gt;"",ROUND(H15*151.67,2),"")</f>
        <v>1645.62</v>
      </c>
      <c r="I36" s="18" t="n">
        <f aca="false">IF(I15&lt;&gt;"",ROUND(I15*151.67,2),"")</f>
        <v>1645.62</v>
      </c>
      <c r="J36" s="18" t="n">
        <f aca="false">IF(J15&lt;&gt;"",ROUND(J15*151.67,2),"")</f>
        <v>1645.62</v>
      </c>
      <c r="K36" s="18" t="n">
        <f aca="false">IF(K15&lt;&gt;"",ROUND(K15*151.67,2),"")</f>
        <v>1657.75</v>
      </c>
      <c r="L36" s="18" t="n">
        <f aca="false">IF(L15&lt;&gt;"",ROUND(L15*151.67,2),"")</f>
        <v>1657.75</v>
      </c>
      <c r="M36" s="18" t="n">
        <f aca="false">IF(M15&lt;&gt;"",ROUND(M15*151.67,2),"")</f>
        <v>1657.75</v>
      </c>
      <c r="N36" s="18" t="n">
        <f aca="false">IF(N15&lt;&gt;"",ROUND(N15*151.67,2),"")</f>
        <v>1657.75</v>
      </c>
      <c r="O36" s="18" t="n">
        <f aca="false">IF(O15&lt;&gt;"",ROUND(O15*151.67,2),"")</f>
        <v>1709.32</v>
      </c>
      <c r="P36" s="18" t="n">
        <f aca="false">IF(P15&lt;&gt;"",ROUND(P15*151.67,2),"")</f>
        <v>1709.32</v>
      </c>
      <c r="Q36" s="18" t="n">
        <f aca="false">IF(Q15&lt;&gt;"",ROUND(Q15*151.67,2),"")</f>
        <v>1709.32</v>
      </c>
      <c r="R36" s="18" t="n">
        <f aca="false">IF(R15&lt;&gt;"",ROUND(R15*151.67,2),"")</f>
        <v>1709.32</v>
      </c>
      <c r="S36" s="18" t="n">
        <f aca="false">IF(S15&lt;&gt;"",ROUND(S15*151.67,2),"")</f>
        <v>1747.24</v>
      </c>
      <c r="T36" s="18" t="n">
        <f aca="false">IF(T15&lt;&gt;"",ROUND(T15*151.67,2),"")</f>
        <v>1747.24</v>
      </c>
      <c r="U36" s="18" t="n">
        <f aca="false">IF(U15&lt;&gt;"",ROUND(U15*151.67,2),"")</f>
        <v>1747.24</v>
      </c>
      <c r="V36" s="18" t="n">
        <f aca="false">IF(V15&lt;&gt;"",ROUND(V15*151.67,2),"")</f>
        <v>1747.24</v>
      </c>
      <c r="W36" s="18" t="n">
        <f aca="false">IF(W15&lt;&gt;"",ROUND(W15*151.67,2),"")</f>
        <v>1747.24</v>
      </c>
      <c r="X36" s="18" t="n">
        <f aca="false">IF(X15&lt;&gt;"",ROUND(X15*151.67,2),"")</f>
        <v>1747.24</v>
      </c>
      <c r="Y36" s="18" t="n">
        <f aca="false">IF(Y15&lt;&gt;"",ROUND(Y15*151.67,2),"")</f>
        <v>1747.24</v>
      </c>
      <c r="Z36" s="18" t="n">
        <f aca="false">IF(Z15&lt;&gt;"",ROUND(Z15*151.67,2),"")</f>
        <v>1747.24</v>
      </c>
      <c r="AA36" s="18" t="n">
        <f aca="false">IF(AA15&lt;&gt;"",ROUND(AA15*151.67,2),"")</f>
        <v>1766.96</v>
      </c>
      <c r="AB36" s="18" t="n">
        <f aca="false">IF(AB15&lt;&gt;"",ROUND(AB15*151.67,2),"")</f>
        <v>1766.96</v>
      </c>
      <c r="AC36" s="18" t="n">
        <f aca="false">IF(AC15&lt;&gt;"",ROUND(AC15*151.67,2),"")</f>
        <v>1766.96</v>
      </c>
      <c r="AD36" s="18" t="n">
        <f aca="false">IF(AD15&lt;&gt;"",ROUND(AD15*151.67,2),"")</f>
        <v>1766.96</v>
      </c>
      <c r="AE36" s="18" t="n">
        <f aca="false">IF(AE15&lt;&gt;"",ROUND(AE15*151.67,2),"")</f>
        <v>1766.96</v>
      </c>
      <c r="AF36" s="18" t="n">
        <f aca="false">IF(AF15&lt;&gt;"",ROUND(AF15*151.67,2),"")</f>
        <v>1766.96</v>
      </c>
      <c r="AG36" s="18" t="n">
        <f aca="false">IF(AG15&lt;&gt;"",ROUND(AG15*151.67,2),"")</f>
        <v>1766.96</v>
      </c>
      <c r="AH36" s="18" t="n">
        <f aca="false">IF(AH15&lt;&gt;"",ROUND(AH15*151.67,2),"")</f>
        <v>1766.96</v>
      </c>
      <c r="AI36" s="18" t="n">
        <f aca="false">IF(AI15&lt;&gt;"",ROUND(AI15*151.67,2),"")</f>
        <v>1766.96</v>
      </c>
      <c r="AJ36" s="18" t="n">
        <f aca="false">IF(AJ15&lt;&gt;"",ROUND(AJ15*151.67,2),"")</f>
        <v>1766.96</v>
      </c>
      <c r="AK36" s="18" t="n">
        <f aca="false">IF(AK15&lt;&gt;"",ROUND(AK15*151.67,2),"")</f>
        <v>1801.84</v>
      </c>
      <c r="AL36" s="18" t="n">
        <f aca="false">IF(AL15&lt;&gt;"",ROUND(AL15*151.67,2),"")</f>
        <v>1801.84</v>
      </c>
      <c r="AM36" s="18" t="n">
        <f aca="false">IF(AM15&lt;&gt;"",ROUND(AM15*151.67,2),"")</f>
        <v>1801.84</v>
      </c>
      <c r="AN36" s="18" t="n">
        <f aca="false">IF(AN15&lt;&gt;"",ROUND(AN15*151.67,2),"")</f>
        <v>1801.84</v>
      </c>
      <c r="AO36" s="18" t="n">
        <f aca="false">IF(AO15&lt;&gt;"",ROUND(AO15*151.67,2),"")</f>
        <v>1801.84</v>
      </c>
      <c r="AP36" s="18" t="n">
        <f aca="false">IF(AP15&lt;&gt;"",ROUND(AP15*151.67,2),"")</f>
        <v>1801.84</v>
      </c>
      <c r="AQ36" s="18" t="n">
        <f aca="false">IF(AQ15&lt;&gt;"",ROUND(AQ15*151.67,2),"")</f>
        <v>1801.84</v>
      </c>
      <c r="AR36" s="18" t="n">
        <f aca="false">IF(AR15&lt;&gt;"",ROUND(AR15*151.67,2),"")</f>
        <v>1801.84</v>
      </c>
      <c r="AS36" s="18" t="n">
        <f aca="false">IF(AS15&lt;&gt;"",ROUND(AS15*151.67,2),"")</f>
        <v>1801.84</v>
      </c>
      <c r="AT36" s="18" t="n">
        <f aca="false">IF(AT15&lt;&gt;"",ROUND(AT15*151.67,2),"")</f>
        <v>1801.84</v>
      </c>
      <c r="AU36" s="18" t="n">
        <f aca="false">IF(AU15&lt;&gt;"",ROUND(AU15*151.67,2),"")</f>
        <v>1801.84</v>
      </c>
      <c r="AV36" s="18" t="n">
        <f aca="false">IF(AV15&lt;&gt;"",ROUND(AV15*151.67,2),"")</f>
        <v>1801.84</v>
      </c>
      <c r="AW36" s="18" t="n">
        <f aca="false">IF(AW15&lt;&gt;"",ROUND(AW15*151.67,2),"")</f>
        <v>1801.84</v>
      </c>
      <c r="AX36" s="18" t="n">
        <f aca="false">IF(AX15&lt;&gt;"",ROUND(AX15*151.67,2),"")</f>
        <v>1801.84</v>
      </c>
      <c r="AY36" s="18" t="n">
        <f aca="false">IF(AY15&lt;&gt;"",ROUND(AY15*151.67,2),"")</f>
        <v>1801.84</v>
      </c>
      <c r="AZ36" s="18" t="n">
        <f aca="false">IF(AZ15&lt;&gt;"",ROUND(AZ15*151.67,2),"")</f>
        <v>1801.84</v>
      </c>
      <c r="BA36" s="18" t="n">
        <f aca="false">IF(BA15&lt;&gt;"",ROUND(BA15*151.67,2),"")</f>
        <v>1801.84</v>
      </c>
      <c r="BB36" s="18" t="n">
        <f aca="false">IF(BB15&lt;&gt;"",ROUND(BB15*151.67,2),"")</f>
        <v>1801.84</v>
      </c>
      <c r="BC36" s="18" t="n">
        <f aca="false">IF(BC15&lt;&gt;"",ROUND(BC15*151.67,2),"")</f>
        <v>1801.84</v>
      </c>
    </row>
    <row r="37" customFormat="false" ht="18" hidden="false" customHeight="true" outlineLevel="0" collapsed="false">
      <c r="A37" s="16" t="s">
        <v>57</v>
      </c>
      <c r="B37" s="17" t="s">
        <v>58</v>
      </c>
      <c r="C37" s="19" t="n">
        <v>0.174</v>
      </c>
      <c r="D37" s="19" t="n">
        <v>0.174</v>
      </c>
      <c r="E37" s="19" t="n">
        <v>0.174</v>
      </c>
      <c r="F37" s="19" t="n">
        <v>0.174</v>
      </c>
      <c r="G37" s="19" t="n">
        <v>0.174</v>
      </c>
      <c r="H37" s="19" t="n">
        <v>0.174</v>
      </c>
      <c r="I37" s="19" t="n">
        <v>0.174</v>
      </c>
      <c r="J37" s="19" t="n">
        <v>0.1796</v>
      </c>
      <c r="K37" s="19" t="n">
        <v>0.1796</v>
      </c>
      <c r="L37" s="19" t="n">
        <v>0.1796</v>
      </c>
      <c r="M37" s="19" t="n">
        <v>0.1796</v>
      </c>
      <c r="N37" s="19" t="n">
        <v>0.1796</v>
      </c>
      <c r="O37" s="19" t="n">
        <v>0.1796</v>
      </c>
      <c r="P37" s="19" t="n">
        <v>0.1796</v>
      </c>
      <c r="Q37" s="19" t="n">
        <v>0.1796</v>
      </c>
      <c r="R37" s="19" t="n">
        <v>0.1796</v>
      </c>
      <c r="S37" s="19" t="n">
        <v>0.1796</v>
      </c>
      <c r="T37" s="19" t="n">
        <v>0.1796</v>
      </c>
      <c r="U37" s="19" t="n">
        <v>0.1796</v>
      </c>
      <c r="V37" s="19" t="n">
        <v>0.2265</v>
      </c>
      <c r="W37" s="19" t="n">
        <v>0.2265</v>
      </c>
      <c r="X37" s="19" t="n">
        <v>0.2265</v>
      </c>
      <c r="Y37" s="19" t="n">
        <v>0.2265</v>
      </c>
      <c r="Z37" s="19" t="n">
        <v>0.2265</v>
      </c>
      <c r="AA37" s="19" t="n">
        <v>0.2265</v>
      </c>
      <c r="AB37" s="19" t="n">
        <v>0.2265</v>
      </c>
      <c r="AC37" s="19" t="n">
        <v>0.2459</v>
      </c>
      <c r="AD37" s="19" t="n">
        <v>0.2459</v>
      </c>
      <c r="AE37" s="19" t="n">
        <v>0.2459</v>
      </c>
      <c r="AF37" s="19" t="n">
        <v>0.2459</v>
      </c>
      <c r="AG37" s="19" t="n">
        <v>0.2459</v>
      </c>
      <c r="AH37" s="19" t="n">
        <v>0.2459</v>
      </c>
      <c r="AI37" s="19" t="n">
        <v>0.2516</v>
      </c>
      <c r="AJ37" s="19" t="n">
        <v>0.2516</v>
      </c>
      <c r="AK37" s="19" t="n">
        <v>0.2516</v>
      </c>
      <c r="AL37" s="19" t="n">
        <v>0.2516</v>
      </c>
      <c r="AM37" s="19" t="n">
        <v>0.2516</v>
      </c>
      <c r="AN37" s="19" t="n">
        <v>0.2645</v>
      </c>
      <c r="AO37" s="19" t="n">
        <v>0.2645</v>
      </c>
      <c r="AP37" s="19" t="n">
        <v>0.2645</v>
      </c>
      <c r="AQ37" s="19" t="n">
        <v>0.2645</v>
      </c>
      <c r="AR37" s="19" t="n">
        <v>0.2645</v>
      </c>
      <c r="AS37" s="19" t="n">
        <v>0.2645</v>
      </c>
      <c r="AT37" s="19" t="n">
        <v>0.2645</v>
      </c>
      <c r="AU37" s="19" t="n">
        <v>0.2645</v>
      </c>
      <c r="AV37" s="19" t="n">
        <v>0.2645</v>
      </c>
      <c r="AW37" s="19" t="n">
        <v>0.2645</v>
      </c>
      <c r="AX37" s="19" t="n">
        <v>0.2645</v>
      </c>
      <c r="AY37" s="19" t="n">
        <v>0.2645</v>
      </c>
      <c r="AZ37" s="19" t="n">
        <v>0.2645</v>
      </c>
      <c r="BA37" s="19" t="n">
        <v>0.2645</v>
      </c>
      <c r="BB37" s="19" t="n">
        <v>0.2645</v>
      </c>
      <c r="BC37" s="19" t="n">
        <v>0.2645</v>
      </c>
    </row>
    <row r="38" customFormat="false" ht="18" hidden="false" customHeight="true" outlineLevel="0" collapsed="false">
      <c r="A38" s="16" t="s">
        <v>59</v>
      </c>
      <c r="B38" s="17" t="s">
        <v>60</v>
      </c>
      <c r="C38" s="20" t="n">
        <v>81</v>
      </c>
      <c r="D38" s="20" t="n">
        <v>90</v>
      </c>
      <c r="E38" s="20" t="n">
        <v>105</v>
      </c>
      <c r="F38" s="20" t="n">
        <v>108</v>
      </c>
      <c r="G38" s="20" t="n">
        <v>115</v>
      </c>
      <c r="H38" s="20" t="n">
        <v>118</v>
      </c>
      <c r="I38" s="20" t="n">
        <v>120.5</v>
      </c>
      <c r="J38" s="20" t="n">
        <v>154</v>
      </c>
      <c r="K38" s="20" t="n">
        <v>168</v>
      </c>
      <c r="L38" s="20" t="n">
        <v>130</v>
      </c>
      <c r="M38" s="20" t="n">
        <v>115</v>
      </c>
      <c r="N38" s="20" t="n">
        <v>104</v>
      </c>
      <c r="O38" s="20" t="n">
        <v>98</v>
      </c>
      <c r="P38" s="20" t="n">
        <v>92</v>
      </c>
      <c r="Q38" s="20" t="n">
        <v>85</v>
      </c>
      <c r="R38" s="20" t="n">
        <v>78</v>
      </c>
      <c r="S38" s="20" t="n">
        <v>72</v>
      </c>
      <c r="T38" s="20" t="n">
        <v>65</v>
      </c>
      <c r="U38" s="20" t="n">
        <v>57</v>
      </c>
      <c r="V38" s="20" t="n">
        <v>56</v>
      </c>
      <c r="W38" s="20" t="n">
        <v>54</v>
      </c>
      <c r="X38" s="20" t="n">
        <v>58</v>
      </c>
      <c r="Y38" s="20" t="n">
        <v>62</v>
      </c>
      <c r="Z38" s="20" t="n">
        <v>65</v>
      </c>
      <c r="AA38" s="20" t="n">
        <v>63</v>
      </c>
      <c r="AB38" s="20" t="n">
        <v>61</v>
      </c>
      <c r="AC38" s="20" t="n">
        <v>59</v>
      </c>
      <c r="AD38" s="20" t="n">
        <v>57</v>
      </c>
      <c r="AE38" s="20" t="n">
        <v>55</v>
      </c>
      <c r="AF38" s="20" t="n">
        <v>54</v>
      </c>
      <c r="AG38" s="20" t="n">
        <v>52</v>
      </c>
      <c r="AH38" s="20" t="n">
        <v>50</v>
      </c>
      <c r="AI38" s="20" t="n">
        <v>48</v>
      </c>
      <c r="AJ38" s="20" t="n">
        <v>49</v>
      </c>
      <c r="AK38" s="20" t="n">
        <v>52</v>
      </c>
      <c r="AL38" s="20" t="n">
        <v>54</v>
      </c>
      <c r="AM38" s="20" t="n">
        <v>57</v>
      </c>
      <c r="AN38" s="20" t="n">
        <v>62</v>
      </c>
      <c r="AO38" s="20" t="n">
        <v>65</v>
      </c>
      <c r="AP38" s="20" t="n">
        <v>63</v>
      </c>
      <c r="AQ38" s="20" t="n">
        <v>60</v>
      </c>
      <c r="AR38" s="20" t="n">
        <v>58</v>
      </c>
      <c r="AS38" s="20" t="n">
        <v>55</v>
      </c>
      <c r="AT38" s="20" t="n">
        <v>54</v>
      </c>
      <c r="AU38" s="20" t="n">
        <v>52</v>
      </c>
      <c r="AV38" s="20" t="n">
        <v>53</v>
      </c>
      <c r="AW38" s="20" t="n">
        <v>56</v>
      </c>
      <c r="AX38" s="20" t="n">
        <v>58</v>
      </c>
      <c r="AY38" s="20" t="n">
        <v>62</v>
      </c>
      <c r="AZ38" s="20" t="n">
        <v>64</v>
      </c>
      <c r="BA38" s="20" t="n">
        <v>63</v>
      </c>
      <c r="BB38" s="20" t="n">
        <v>61</v>
      </c>
      <c r="BC38" s="20" t="n">
        <v>60</v>
      </c>
    </row>
    <row r="39" customFormat="false" ht="18" hidden="false" customHeight="true" outlineLevel="0" collapsed="false">
      <c r="A39" s="16" t="s">
        <v>61</v>
      </c>
      <c r="B39" s="17" t="s">
        <v>31</v>
      </c>
      <c r="C39" s="21" t="n">
        <v>0.5</v>
      </c>
      <c r="D39" s="21" t="n">
        <v>1</v>
      </c>
      <c r="E39" s="21" t="n">
        <v>1</v>
      </c>
      <c r="F39" s="21" t="n">
        <v>1</v>
      </c>
      <c r="G39" s="21" t="n">
        <v>1</v>
      </c>
      <c r="H39" s="21" t="n">
        <v>1</v>
      </c>
      <c r="I39" s="21" t="n">
        <v>1</v>
      </c>
      <c r="J39" s="21" t="n">
        <v>2</v>
      </c>
      <c r="K39" s="21" t="n">
        <v>2</v>
      </c>
      <c r="L39" s="21" t="n">
        <v>2</v>
      </c>
      <c r="M39" s="21" t="n">
        <v>2</v>
      </c>
      <c r="N39" s="21" t="n">
        <v>2</v>
      </c>
      <c r="O39" s="21" t="n">
        <v>2</v>
      </c>
      <c r="P39" s="21" t="n">
        <v>3</v>
      </c>
      <c r="Q39" s="21" t="n">
        <v>3</v>
      </c>
      <c r="R39" s="21" t="n">
        <v>3</v>
      </c>
      <c r="S39" s="21" t="n">
        <v>3</v>
      </c>
      <c r="T39" s="21" t="n">
        <v>3</v>
      </c>
      <c r="U39" s="21" t="n">
        <v>3</v>
      </c>
      <c r="V39" s="21" t="n">
        <v>3</v>
      </c>
      <c r="W39" s="21" t="n">
        <v>3</v>
      </c>
      <c r="X39" s="21" t="n">
        <v>3</v>
      </c>
      <c r="Y39" s="21" t="n">
        <v>3</v>
      </c>
      <c r="Z39" s="21" t="n">
        <v>3</v>
      </c>
      <c r="AA39" s="21" t="n">
        <v>3</v>
      </c>
      <c r="AB39" s="21" t="n">
        <v>3</v>
      </c>
      <c r="AC39" s="21" t="n">
        <v>3</v>
      </c>
      <c r="AD39" s="21" t="n">
        <v>3</v>
      </c>
      <c r="AE39" s="21" t="n">
        <v>3</v>
      </c>
      <c r="AF39" s="21" t="n">
        <v>3</v>
      </c>
      <c r="AG39" s="21" t="n">
        <v>3</v>
      </c>
      <c r="AH39" s="21" t="n">
        <v>3</v>
      </c>
      <c r="AI39" s="21" t="n">
        <v>3</v>
      </c>
      <c r="AJ39" s="21" t="n">
        <v>3</v>
      </c>
      <c r="AK39" s="21" t="n">
        <v>3</v>
      </c>
      <c r="AL39" s="21" t="n">
        <v>3</v>
      </c>
      <c r="AM39" s="21" t="n">
        <v>3</v>
      </c>
      <c r="AN39" s="21" t="n">
        <v>2.4</v>
      </c>
      <c r="AO39" s="21" t="n">
        <v>2.4</v>
      </c>
      <c r="AP39" s="21" t="n">
        <v>2.4</v>
      </c>
      <c r="AQ39" s="21" t="n">
        <v>2.4</v>
      </c>
      <c r="AR39" s="21" t="n">
        <v>2.4</v>
      </c>
      <c r="AS39" s="21" t="n">
        <v>2.4</v>
      </c>
      <c r="AT39" s="21" t="n">
        <v>1.7</v>
      </c>
      <c r="AU39" s="21" t="n">
        <v>1.7</v>
      </c>
      <c r="AV39" s="21" t="n">
        <v>1.7</v>
      </c>
      <c r="AW39" s="21" t="n">
        <v>1.7</v>
      </c>
      <c r="AX39" s="21" t="n">
        <v>1.7</v>
      </c>
      <c r="AY39" s="21" t="n">
        <v>1.7</v>
      </c>
      <c r="AZ39" s="21" t="n">
        <v>1.7</v>
      </c>
      <c r="BA39" s="21" t="n">
        <v>1.7</v>
      </c>
      <c r="BB39" s="21" t="n">
        <v>1.7</v>
      </c>
      <c r="BC39" s="21" t="n">
        <v>1.7</v>
      </c>
    </row>
    <row r="40" customFormat="false" ht="6" hidden="false" customHeight="true" outlineLevel="0" collapsed="false">
      <c r="A40" s="22" t="s">
        <v>62</v>
      </c>
    </row>
    <row r="41" customFormat="false" ht="18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customFormat="false" ht="18" hidden="false" customHeight="true" outlineLevel="0" collapsed="false"/>
    <row r="43" customFormat="false" ht="18" hidden="false" customHeight="true" outlineLevel="0" collapsed="false"/>
    <row r="44" customFormat="false" ht="15.7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</row>
  </sheetData>
  <mergeCells count="14">
    <mergeCell ref="A1:BJ1"/>
    <mergeCell ref="C2:N2"/>
    <mergeCell ref="O2:Z2"/>
    <mergeCell ref="AA2:AL2"/>
    <mergeCell ref="AM2:AX2"/>
    <mergeCell ref="AY2:BJ2"/>
    <mergeCell ref="A4:BJ4"/>
    <mergeCell ref="A14:BJ14"/>
    <mergeCell ref="A24:BJ24"/>
    <mergeCell ref="A32:BJ32"/>
    <mergeCell ref="A34:G34"/>
    <mergeCell ref="A35:BJ35"/>
    <mergeCell ref="A41:BJ41"/>
    <mergeCell ref="A44:BJ44"/>
  </mergeCells>
  <hyperlinks>
    <hyperlink ref="B36" r:id="rId1" display="€/mois"/>
    <hyperlink ref="B37" r:id="rId2" display="€/kWh"/>
    <hyperlink ref="B38" r:id="rId3" display="€/MWh"/>
    <hyperlink ref="B39" r:id="rId4" display="%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7" min="3" style="1" width="14"/>
    <col collapsed="false" customWidth="true" hidden="false" outlineLevel="0" max="8" min="8" style="1" width="16"/>
  </cols>
  <sheetData>
    <row r="1" customFormat="false" ht="33.7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3" t="s">
        <v>64</v>
      </c>
      <c r="B2" s="23"/>
      <c r="C2" s="23"/>
      <c r="D2" s="23"/>
      <c r="E2" s="23"/>
      <c r="F2" s="23"/>
      <c r="G2" s="23"/>
      <c r="H2" s="23"/>
    </row>
    <row r="3" customFormat="false" ht="21.75" hidden="false" customHeight="true" outlineLevel="0" collapsed="false">
      <c r="A3" s="3" t="s">
        <v>1</v>
      </c>
      <c r="B3" s="3" t="s">
        <v>2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</row>
    <row r="4" customFormat="false" ht="18" hidden="false" customHeight="true" outlineLevel="0" collapsed="false">
      <c r="A4" s="7" t="s">
        <v>20</v>
      </c>
      <c r="B4" s="7"/>
      <c r="C4" s="7"/>
      <c r="D4" s="7"/>
      <c r="E4" s="7"/>
      <c r="F4" s="7"/>
      <c r="G4" s="7"/>
      <c r="H4" s="7"/>
    </row>
    <row r="5" customFormat="false" ht="19.5" hidden="false" customHeight="true" outlineLevel="0" collapsed="false">
      <c r="A5" s="8" t="s">
        <v>21</v>
      </c>
      <c r="B5" s="24" t="s">
        <v>22</v>
      </c>
      <c r="C5" s="25" t="n">
        <f aca="false">IFERROR(LOOKUP(2,1/(Données!C5:BL5&lt;&gt;""),Données!C5:BL5),"")</f>
        <v>8116</v>
      </c>
      <c r="D5" s="26" t="str">
        <f aca="false">IFERROR(LOOKUP(2,1/(Données!C5:BL5&lt;&gt;""),Données!C5:BL5)-INDEX(Données!C5:BL5,MATCH(2,1/(Données!C5:BL5&lt;&gt;""),0)-1+1),"")</f>
        <v/>
      </c>
      <c r="E5" s="26" t="str">
        <f aca="false">IFERROR(LOOKUP(2,1/(Données!C5:BL5&lt;&gt;""),Données!C5:BL5)-INDEX(Données!C5:BL5,MATCH(2,1/(Données!C5:BL5&lt;&gt;""),0)-6+1),"")</f>
        <v/>
      </c>
      <c r="F5" s="26" t="str">
        <f aca="false">IFERROR(LOOKUP(2,1/(Données!C5:BL5&lt;&gt;""),Données!C5:BL5)-INDEX(Données!C5:BL5,MATCH(2,1/(Données!C5:BL5&lt;&gt;""),0)-12+1),"")</f>
        <v/>
      </c>
      <c r="G5" s="26" t="str">
        <f aca="false">IFERROR(LOOKUP(2,1/(Données!C5:BL5&lt;&gt;""),Données!C5:BL5)-INDEX(Données!C5:BL5,MATCH(2,1/(Données!C5:BL5&lt;&gt;""),0)-24+1),"")</f>
        <v/>
      </c>
      <c r="H5" s="27" t="s">
        <v>71</v>
      </c>
    </row>
    <row r="6" customFormat="false" ht="19.5" hidden="false" customHeight="true" outlineLevel="0" collapsed="false">
      <c r="A6" s="8" t="s">
        <v>23</v>
      </c>
      <c r="B6" s="24" t="s">
        <v>22</v>
      </c>
      <c r="C6" s="25" t="n">
        <f aca="false">IFERROR(LOOKUP(2,1/(Données!C6:BL6&lt;&gt;""),Données!C6:BL6),"")</f>
        <v>5981</v>
      </c>
      <c r="D6" s="26" t="str">
        <f aca="false">IFERROR(LOOKUP(2,1/(Données!C6:BL6&lt;&gt;""),Données!C6:BL6)-INDEX(Données!C6:BL6,MATCH(2,1/(Données!C6:BL6&lt;&gt;""),0)-1+1),"")</f>
        <v/>
      </c>
      <c r="E6" s="26" t="str">
        <f aca="false">IFERROR(LOOKUP(2,1/(Données!C6:BL6&lt;&gt;""),Données!C6:BL6)-INDEX(Données!C6:BL6,MATCH(2,1/(Données!C6:BL6&lt;&gt;""),0)-6+1),"")</f>
        <v/>
      </c>
      <c r="F6" s="26" t="str">
        <f aca="false">IFERROR(LOOKUP(2,1/(Données!C6:BL6&lt;&gt;""),Données!C6:BL6)-INDEX(Données!C6:BL6,MATCH(2,1/(Données!C6:BL6&lt;&gt;""),0)-12+1),"")</f>
        <v/>
      </c>
      <c r="G6" s="26" t="str">
        <f aca="false">IFERROR(LOOKUP(2,1/(Données!C6:BL6&lt;&gt;""),Données!C6:BL6)-INDEX(Données!C6:BL6,MATCH(2,1/(Données!C6:BL6&lt;&gt;""),0)-24+1),"")</f>
        <v/>
      </c>
      <c r="H6" s="27" t="s">
        <v>71</v>
      </c>
    </row>
    <row r="7" customFormat="false" ht="19.5" hidden="false" customHeight="true" outlineLevel="0" collapsed="false">
      <c r="A7" s="8" t="s">
        <v>24</v>
      </c>
      <c r="B7" s="24" t="s">
        <v>22</v>
      </c>
      <c r="C7" s="25" t="n">
        <f aca="false">IFERROR(LOOKUP(2,1/(Données!C7:BL7&lt;&gt;""),Données!C7:BL7),"")</f>
        <v>26121</v>
      </c>
      <c r="D7" s="26" t="str">
        <f aca="false">IFERROR(LOOKUP(2,1/(Données!C7:BL7&lt;&gt;""),Données!C7:BL7)-INDEX(Données!C7:BL7,MATCH(2,1/(Données!C7:BL7&lt;&gt;""),0)-1+1),"")</f>
        <v/>
      </c>
      <c r="E7" s="26" t="str">
        <f aca="false">IFERROR(LOOKUP(2,1/(Données!C7:BL7&lt;&gt;""),Données!C7:BL7)-INDEX(Données!C7:BL7,MATCH(2,1/(Données!C7:BL7&lt;&gt;""),0)-6+1),"")</f>
        <v/>
      </c>
      <c r="F7" s="26" t="str">
        <f aca="false">IFERROR(LOOKUP(2,1/(Données!C7:BL7&lt;&gt;""),Données!C7:BL7)-INDEX(Données!C7:BL7,MATCH(2,1/(Données!C7:BL7&lt;&gt;""),0)-12+1),"")</f>
        <v/>
      </c>
      <c r="G7" s="26" t="str">
        <f aca="false">IFERROR(LOOKUP(2,1/(Données!C7:BL7&lt;&gt;""),Données!C7:BL7)-INDEX(Données!C7:BL7,MATCH(2,1/(Données!C7:BL7&lt;&gt;""),0)-24+1),"")</f>
        <v/>
      </c>
      <c r="H7" s="27" t="s">
        <v>71</v>
      </c>
    </row>
    <row r="8" customFormat="false" ht="19.5" hidden="false" customHeight="true" outlineLevel="0" collapsed="false">
      <c r="A8" s="8" t="s">
        <v>25</v>
      </c>
      <c r="B8" s="24" t="s">
        <v>22</v>
      </c>
      <c r="C8" s="25" t="n">
        <f aca="false">IFERROR(LOOKUP(2,1/(Données!C8:BL8&lt;&gt;""),Données!C8:BL8),"")</f>
        <v>49878</v>
      </c>
      <c r="D8" s="26" t="str">
        <f aca="false">IFERROR(LOOKUP(2,1/(Données!C8:BL8&lt;&gt;""),Données!C8:BL8)-INDEX(Données!C8:BL8,MATCH(2,1/(Données!C8:BL8&lt;&gt;""),0)-1+1),"")</f>
        <v/>
      </c>
      <c r="E8" s="26" t="str">
        <f aca="false">IFERROR(LOOKUP(2,1/(Données!C8:BL8&lt;&gt;""),Données!C8:BL8)-INDEX(Données!C8:BL8,MATCH(2,1/(Données!C8:BL8&lt;&gt;""),0)-6+1),"")</f>
        <v/>
      </c>
      <c r="F8" s="26" t="str">
        <f aca="false">IFERROR(LOOKUP(2,1/(Données!C8:BL8&lt;&gt;""),Données!C8:BL8)-INDEX(Données!C8:BL8,MATCH(2,1/(Données!C8:BL8&lt;&gt;""),0)-12+1),"")</f>
        <v/>
      </c>
      <c r="G8" s="26" t="str">
        <f aca="false">IFERROR(LOOKUP(2,1/(Données!C8:BL8&lt;&gt;""),Données!C8:BL8)-INDEX(Données!C8:BL8,MATCH(2,1/(Données!C8:BL8&lt;&gt;""),0)-24+1),"")</f>
        <v/>
      </c>
      <c r="H8" s="27" t="s">
        <v>71</v>
      </c>
    </row>
    <row r="9" customFormat="false" ht="19.5" hidden="false" customHeight="true" outlineLevel="0" collapsed="false">
      <c r="A9" s="8" t="s">
        <v>26</v>
      </c>
      <c r="B9" s="24" t="s">
        <v>27</v>
      </c>
      <c r="C9" s="25" t="n">
        <f aca="false">IFERROR(LOOKUP(2,1/(Données!C9:BL9&lt;&gt;""),Données!C9:BL9),"")</f>
        <v>17.4</v>
      </c>
      <c r="D9" s="26" t="str">
        <f aca="false">IFERROR(LOOKUP(2,1/(Données!C9:BL9&lt;&gt;""),Données!C9:BL9)-INDEX(Données!C9:BL9,MATCH(2,1/(Données!C9:BL9&lt;&gt;""),0)-1+1),"")</f>
        <v/>
      </c>
      <c r="E9" s="26" t="str">
        <f aca="false">IFERROR(LOOKUP(2,1/(Données!C9:BL9&lt;&gt;""),Données!C9:BL9)-INDEX(Données!C9:BL9,MATCH(2,1/(Données!C9:BL9&lt;&gt;""),0)-6+1),"")</f>
        <v/>
      </c>
      <c r="F9" s="26" t="str">
        <f aca="false">IFERROR(LOOKUP(2,1/(Données!C9:BL9&lt;&gt;""),Données!C9:BL9)-INDEX(Données!C9:BL9,MATCH(2,1/(Données!C9:BL9&lt;&gt;""),0)-12+1),"")</f>
        <v/>
      </c>
      <c r="G9" s="26" t="str">
        <f aca="false">IFERROR(LOOKUP(2,1/(Données!C9:BL9&lt;&gt;""),Données!C9:BL9)-INDEX(Données!C9:BL9,MATCH(2,1/(Données!C9:BL9&lt;&gt;""),0)-24+1),"")</f>
        <v/>
      </c>
      <c r="H9" s="27" t="s">
        <v>72</v>
      </c>
    </row>
    <row r="10" customFormat="false" ht="19.5" hidden="false" customHeight="true" outlineLevel="0" collapsed="false">
      <c r="A10" s="8" t="s">
        <v>28</v>
      </c>
      <c r="B10" s="24" t="s">
        <v>29</v>
      </c>
      <c r="C10" s="25" t="n">
        <f aca="false">IFERROR(LOOKUP(2,1/(Données!C10:BL10&lt;&gt;""),Données!C10:BL10),"")</f>
        <v>1.128</v>
      </c>
      <c r="D10" s="26" t="str">
        <f aca="false">IFERROR(LOOKUP(2,1/(Données!C10:BL10&lt;&gt;""),Données!C10:BL10)-INDEX(Données!C10:BL10,MATCH(2,1/(Données!C10:BL10&lt;&gt;""),0)-1+1),"")</f>
        <v/>
      </c>
      <c r="E10" s="26" t="str">
        <f aca="false">IFERROR(LOOKUP(2,1/(Données!C10:BL10&lt;&gt;""),Données!C10:BL10)-INDEX(Données!C10:BL10,MATCH(2,1/(Données!C10:BL10&lt;&gt;""),0)-6+1),"")</f>
        <v/>
      </c>
      <c r="F10" s="26" t="str">
        <f aca="false">IFERROR(LOOKUP(2,1/(Données!C10:BL10&lt;&gt;""),Données!C10:BL10)-INDEX(Données!C10:BL10,MATCH(2,1/(Données!C10:BL10&lt;&gt;""),0)-12+1),"")</f>
        <v/>
      </c>
      <c r="G10" s="26" t="str">
        <f aca="false">IFERROR(LOOKUP(2,1/(Données!C10:BL10&lt;&gt;""),Données!C10:BL10)-INDEX(Données!C10:BL10,MATCH(2,1/(Données!C10:BL10&lt;&gt;""),0)-24+1),"")</f>
        <v/>
      </c>
      <c r="H10" s="27" t="s">
        <v>71</v>
      </c>
    </row>
    <row r="11" customFormat="false" ht="19.5" hidden="false" customHeight="true" outlineLevel="0" collapsed="false">
      <c r="A11" s="8" t="s">
        <v>30</v>
      </c>
      <c r="B11" s="24" t="s">
        <v>31</v>
      </c>
      <c r="C11" s="25" t="n">
        <f aca="false">IFERROR(LOOKUP(2,1/(Données!C11:BL11&lt;&gt;""),Données!C11:BL11),"")</f>
        <v>3.55</v>
      </c>
      <c r="D11" s="26" t="str">
        <f aca="false">IFERROR(LOOKUP(2,1/(Données!C11:BL11&lt;&gt;""),Données!C11:BL11)-INDEX(Données!C11:BL11,MATCH(2,1/(Données!C11:BL11&lt;&gt;""),0)-1+1),"")</f>
        <v/>
      </c>
      <c r="E11" s="26" t="str">
        <f aca="false">IFERROR(LOOKUP(2,1/(Données!C11:BL11&lt;&gt;""),Données!C11:BL11)-INDEX(Données!C11:BL11,MATCH(2,1/(Données!C11:BL11&lt;&gt;""),0)-6+1),"")</f>
        <v/>
      </c>
      <c r="F11" s="26" t="str">
        <f aca="false">IFERROR(LOOKUP(2,1/(Données!C11:BL11&lt;&gt;""),Données!C11:BL11)-INDEX(Données!C11:BL11,MATCH(2,1/(Données!C11:BL11&lt;&gt;""),0)-12+1),"")</f>
        <v/>
      </c>
      <c r="G11" s="26" t="str">
        <f aca="false">IFERROR(LOOKUP(2,1/(Données!C11:BL11&lt;&gt;""),Données!C11:BL11)-INDEX(Données!C11:BL11,MATCH(2,1/(Données!C11:BL11&lt;&gt;""),0)-24+1),"")</f>
        <v/>
      </c>
      <c r="H11" s="27" t="s">
        <v>73</v>
      </c>
    </row>
    <row r="12" customFormat="false" ht="19.5" hidden="false" customHeight="true" outlineLevel="0" collapsed="false">
      <c r="A12" s="8" t="s">
        <v>32</v>
      </c>
      <c r="B12" s="24" t="s">
        <v>33</v>
      </c>
      <c r="C12" s="25" t="n">
        <f aca="false">IFERROR(LOOKUP(2,1/(Données!C12:BL12&lt;&gt;""),Données!C12:BL12),"")</f>
        <v>68.3</v>
      </c>
      <c r="D12" s="26" t="str">
        <f aca="false">IFERROR(LOOKUP(2,1/(Données!C12:BL12&lt;&gt;""),Données!C12:BL12)-INDEX(Données!C12:BL12,MATCH(2,1/(Données!C12:BL12&lt;&gt;""),0)-1+1),"")</f>
        <v/>
      </c>
      <c r="E12" s="26" t="str">
        <f aca="false">IFERROR(LOOKUP(2,1/(Données!C12:BL12&lt;&gt;""),Données!C12:BL12)-INDEX(Données!C12:BL12,MATCH(2,1/(Données!C12:BL12&lt;&gt;""),0)-6+1),"")</f>
        <v/>
      </c>
      <c r="F12" s="26" t="str">
        <f aca="false">IFERROR(LOOKUP(2,1/(Données!C12:BL12&lt;&gt;""),Données!C12:BL12)-INDEX(Données!C12:BL12,MATCH(2,1/(Données!C12:BL12&lt;&gt;""),0)-12+1),"")</f>
        <v/>
      </c>
      <c r="G12" s="26" t="str">
        <f aca="false">IFERROR(LOOKUP(2,1/(Données!C12:BL12&lt;&gt;""),Données!C12:BL12)-INDEX(Données!C12:BL12,MATCH(2,1/(Données!C12:BL12&lt;&gt;""),0)-24+1),"")</f>
        <v/>
      </c>
      <c r="H12" s="27" t="s">
        <v>74</v>
      </c>
    </row>
    <row r="13" customFormat="false" ht="4.5" hidden="false" customHeight="true" outlineLevel="0" collapsed="false"/>
    <row r="14" customFormat="false" ht="18" hidden="false" customHeight="true" outlineLevel="0" collapsed="false">
      <c r="A14" s="7" t="s">
        <v>34</v>
      </c>
      <c r="B14" s="7"/>
      <c r="C14" s="7"/>
      <c r="D14" s="7"/>
      <c r="E14" s="7"/>
      <c r="F14" s="7"/>
      <c r="G14" s="7"/>
      <c r="H14" s="7"/>
    </row>
    <row r="15" customFormat="false" ht="19.5" hidden="false" customHeight="true" outlineLevel="0" collapsed="false">
      <c r="A15" s="8" t="s">
        <v>35</v>
      </c>
      <c r="B15" s="24" t="s">
        <v>36</v>
      </c>
      <c r="C15" s="25" t="n">
        <f aca="false">IFERROR(LOOKUP(2,1/(Données!C15:BL15&lt;&gt;""),Données!C15:BL15),"")</f>
        <v>11.88</v>
      </c>
      <c r="D15" s="26" t="str">
        <f aca="false">IFERROR(LOOKUP(2,1/(Données!C15:BL15&lt;&gt;""),Données!C15:BL15)-INDEX(Données!C15:BL15,MATCH(2,1/(Données!C15:BL15&lt;&gt;""),0)-1+1),"")</f>
        <v/>
      </c>
      <c r="E15" s="26" t="str">
        <f aca="false">IFERROR(LOOKUP(2,1/(Données!C15:BL15&lt;&gt;""),Données!C15:BL15)-INDEX(Données!C15:BL15,MATCH(2,1/(Données!C15:BL15&lt;&gt;""),0)-6+1),"")</f>
        <v/>
      </c>
      <c r="F15" s="26" t="str">
        <f aca="false">IFERROR(LOOKUP(2,1/(Données!C15:BL15&lt;&gt;""),Données!C15:BL15)-INDEX(Données!C15:BL15,MATCH(2,1/(Données!C15:BL15&lt;&gt;""),0)-12+1),"")</f>
        <v/>
      </c>
      <c r="G15" s="26" t="str">
        <f aca="false">IFERROR(LOOKUP(2,1/(Données!C15:BL15&lt;&gt;""),Données!C15:BL15)-INDEX(Données!C15:BL15,MATCH(2,1/(Données!C15:BL15&lt;&gt;""),0)-24+1),"")</f>
        <v/>
      </c>
      <c r="H15" s="27" t="s">
        <v>75</v>
      </c>
    </row>
    <row r="16" customFormat="false" ht="19.5" hidden="false" customHeight="true" outlineLevel="0" collapsed="false">
      <c r="A16" s="8" t="s">
        <v>37</v>
      </c>
      <c r="B16" s="24" t="s">
        <v>31</v>
      </c>
      <c r="C16" s="25" t="n">
        <f aca="false">IFERROR(LOOKUP(2,1/(Données!C16:BL16&lt;&gt;""),Données!C16:BL16),"")</f>
        <v>2.25</v>
      </c>
      <c r="D16" s="26" t="str">
        <f aca="false">IFERROR(LOOKUP(2,1/(Données!C16:BL16&lt;&gt;""),Données!C16:BL16)-INDEX(Données!C16:BL16,MATCH(2,1/(Données!C16:BL16&lt;&gt;""),0)-1+1),"")</f>
        <v/>
      </c>
      <c r="E16" s="26" t="str">
        <f aca="false">IFERROR(LOOKUP(2,1/(Données!C16:BL16&lt;&gt;""),Données!C16:BL16)-INDEX(Données!C16:BL16,MATCH(2,1/(Données!C16:BL16&lt;&gt;""),0)-6+1),"")</f>
        <v/>
      </c>
      <c r="F16" s="26" t="str">
        <f aca="false">IFERROR(LOOKUP(2,1/(Données!C16:BL16&lt;&gt;""),Données!C16:BL16)-INDEX(Données!C16:BL16,MATCH(2,1/(Données!C16:BL16&lt;&gt;""),0)-12+1),"")</f>
        <v/>
      </c>
      <c r="G16" s="26" t="str">
        <f aca="false">IFERROR(LOOKUP(2,1/(Données!C16:BL16&lt;&gt;""),Données!C16:BL16)-INDEX(Données!C16:BL16,MATCH(2,1/(Données!C16:BL16&lt;&gt;""),0)-24+1),"")</f>
        <v/>
      </c>
      <c r="H16" s="27" t="s">
        <v>76</v>
      </c>
    </row>
    <row r="17" customFormat="false" ht="19.5" hidden="false" customHeight="true" outlineLevel="0" collapsed="false">
      <c r="A17" s="8" t="s">
        <v>38</v>
      </c>
      <c r="B17" s="24" t="s">
        <v>31</v>
      </c>
      <c r="C17" s="25" t="n">
        <f aca="false">IFERROR(LOOKUP(2,1/(Données!C17:BL17&lt;&gt;""),Données!C17:BL17),"")</f>
        <v>0.7</v>
      </c>
      <c r="D17" s="26" t="str">
        <f aca="false">IFERROR(LOOKUP(2,1/(Données!C17:BL17&lt;&gt;""),Données!C17:BL17)-INDEX(Données!C17:BL17,MATCH(2,1/(Données!C17:BL17&lt;&gt;""),0)-1+1),"")</f>
        <v/>
      </c>
      <c r="E17" s="26" t="str">
        <f aca="false">IFERROR(LOOKUP(2,1/(Données!C17:BL17&lt;&gt;""),Données!C17:BL17)-INDEX(Données!C17:BL17,MATCH(2,1/(Données!C17:BL17&lt;&gt;""),0)-6+1),"")</f>
        <v/>
      </c>
      <c r="F17" s="26" t="str">
        <f aca="false">IFERROR(LOOKUP(2,1/(Données!C17:BL17&lt;&gt;""),Données!C17:BL17)-INDEX(Données!C17:BL17,MATCH(2,1/(Données!C17:BL17&lt;&gt;""),0)-12+1),"")</f>
        <v/>
      </c>
      <c r="G17" s="26" t="str">
        <f aca="false">IFERROR(LOOKUP(2,1/(Données!C17:BL17&lt;&gt;""),Données!C17:BL17)-INDEX(Données!C17:BL17,MATCH(2,1/(Données!C17:BL17&lt;&gt;""),0)-24+1),"")</f>
        <v/>
      </c>
      <c r="H17" s="27" t="s">
        <v>77</v>
      </c>
    </row>
    <row r="18" customFormat="false" ht="19.5" hidden="false" customHeight="true" outlineLevel="0" collapsed="false">
      <c r="A18" s="8" t="s">
        <v>39</v>
      </c>
      <c r="B18" s="24" t="s">
        <v>31</v>
      </c>
      <c r="C18" s="25" t="n">
        <f aca="false">IFERROR(LOOKUP(2,1/(Données!C18:BL18&lt;&gt;""),Données!C18:BL18),"")</f>
        <v>7.3</v>
      </c>
      <c r="D18" s="26" t="str">
        <f aca="false">IFERROR(LOOKUP(2,1/(Données!C18:BL18&lt;&gt;""),Données!C18:BL18)-INDEX(Données!C18:BL18,MATCH(2,1/(Données!C18:BL18&lt;&gt;""),0)-1+1),"")</f>
        <v/>
      </c>
      <c r="E18" s="26" t="str">
        <f aca="false">IFERROR(LOOKUP(2,1/(Données!C18:BL18&lt;&gt;""),Données!C18:BL18)-INDEX(Données!C18:BL18,MATCH(2,1/(Données!C18:BL18&lt;&gt;""),0)-6+1),"")</f>
        <v/>
      </c>
      <c r="F18" s="26" t="str">
        <f aca="false">IFERROR(LOOKUP(2,1/(Données!C18:BL18&lt;&gt;""),Données!C18:BL18)-INDEX(Données!C18:BL18,MATCH(2,1/(Données!C18:BL18&lt;&gt;""),0)-12+1),"")</f>
        <v/>
      </c>
      <c r="G18" s="26" t="str">
        <f aca="false">IFERROR(LOOKUP(2,1/(Données!C18:BL18&lt;&gt;""),Données!C18:BL18)-INDEX(Données!C18:BL18,MATCH(2,1/(Données!C18:BL18&lt;&gt;""),0)-24+1),"")</f>
        <v/>
      </c>
      <c r="H18" s="27" t="s">
        <v>77</v>
      </c>
    </row>
    <row r="19" customFormat="false" ht="19.5" hidden="false" customHeight="true" outlineLevel="0" collapsed="false">
      <c r="A19" s="8" t="s">
        <v>40</v>
      </c>
      <c r="B19" s="24" t="s">
        <v>36</v>
      </c>
      <c r="C19" s="25" t="n">
        <f aca="false">IFERROR(LOOKUP(2,1/(Données!C19:BL19&lt;&gt;""),Données!C19:BL19),"")</f>
        <v>88.8</v>
      </c>
      <c r="D19" s="26" t="str">
        <f aca="false">IFERROR(LOOKUP(2,1/(Données!C19:BL19&lt;&gt;""),Données!C19:BL19)-INDEX(Données!C19:BL19,MATCH(2,1/(Données!C19:BL19&lt;&gt;""),0)-1+1),"")</f>
        <v/>
      </c>
      <c r="E19" s="26" t="str">
        <f aca="false">IFERROR(LOOKUP(2,1/(Données!C19:BL19&lt;&gt;""),Données!C19:BL19)-INDEX(Données!C19:BL19,MATCH(2,1/(Données!C19:BL19&lt;&gt;""),0)-6+1),"")</f>
        <v/>
      </c>
      <c r="F19" s="26" t="str">
        <f aca="false">IFERROR(LOOKUP(2,1/(Données!C19:BL19&lt;&gt;""),Données!C19:BL19)-INDEX(Données!C19:BL19,MATCH(2,1/(Données!C19:BL19&lt;&gt;""),0)-12+1),"")</f>
        <v/>
      </c>
      <c r="G19" s="26" t="str">
        <f aca="false">IFERROR(LOOKUP(2,1/(Données!C19:BL19&lt;&gt;""),Données!C19:BL19)-INDEX(Données!C19:BL19,MATCH(2,1/(Données!C19:BL19&lt;&gt;""),0)-24+1),"")</f>
        <v/>
      </c>
      <c r="H19" s="27" t="s">
        <v>78</v>
      </c>
    </row>
    <row r="20" customFormat="false" ht="19.5" hidden="false" customHeight="true" outlineLevel="0" collapsed="false">
      <c r="A20" s="8" t="s">
        <v>41</v>
      </c>
      <c r="B20" s="24" t="s">
        <v>36</v>
      </c>
      <c r="C20" s="25" t="n">
        <f aca="false">IFERROR(LOOKUP(2,1/(Données!C20:BL20&lt;&gt;""),Données!C20:BL20),"")</f>
        <v>1.25</v>
      </c>
      <c r="D20" s="26" t="str">
        <f aca="false">IFERROR(LOOKUP(2,1/(Données!C20:BL20&lt;&gt;""),Données!C20:BL20)-INDEX(Données!C20:BL20,MATCH(2,1/(Données!C20:BL20&lt;&gt;""),0)-1+1),"")</f>
        <v/>
      </c>
      <c r="E20" s="26" t="str">
        <f aca="false">IFERROR(LOOKUP(2,1/(Données!C20:BL20&lt;&gt;""),Données!C20:BL20)-INDEX(Données!C20:BL20,MATCH(2,1/(Données!C20:BL20&lt;&gt;""),0)-6+1),"")</f>
        <v/>
      </c>
      <c r="F20" s="26" t="str">
        <f aca="false">IFERROR(LOOKUP(2,1/(Données!C20:BL20&lt;&gt;""),Données!C20:BL20)-INDEX(Données!C20:BL20,MATCH(2,1/(Données!C20:BL20&lt;&gt;""),0)-12+1),"")</f>
        <v/>
      </c>
      <c r="G20" s="26" t="str">
        <f aca="false">IFERROR(LOOKUP(2,1/(Données!C20:BL20&lt;&gt;""),Données!C20:BL20)-INDEX(Données!C20:BL20,MATCH(2,1/(Données!C20:BL20&lt;&gt;""),0)-24+1),"")</f>
        <v/>
      </c>
      <c r="H20" s="27" t="s">
        <v>79</v>
      </c>
    </row>
    <row r="21" customFormat="false" ht="19.5" hidden="false" customHeight="true" outlineLevel="0" collapsed="false">
      <c r="A21" s="8" t="s">
        <v>42</v>
      </c>
      <c r="B21" s="24" t="s">
        <v>43</v>
      </c>
      <c r="C21" s="25" t="n">
        <f aca="false">IFERROR(LOOKUP(2,1/(Données!C21:BL21&lt;&gt;""),Données!C21:BL21),"")</f>
        <v>-5.8</v>
      </c>
      <c r="D21" s="26" t="str">
        <f aca="false">IFERROR(LOOKUP(2,1/(Données!C21:BL21&lt;&gt;""),Données!C21:BL21)-INDEX(Données!C21:BL21,MATCH(2,1/(Données!C21:BL21&lt;&gt;""),0)-1+1),"")</f>
        <v/>
      </c>
      <c r="E21" s="26" t="str">
        <f aca="false">IFERROR(LOOKUP(2,1/(Données!C21:BL21&lt;&gt;""),Données!C21:BL21)-INDEX(Données!C21:BL21,MATCH(2,1/(Données!C21:BL21&lt;&gt;""),0)-6+1),"")</f>
        <v/>
      </c>
      <c r="F21" s="26" t="str">
        <f aca="false">IFERROR(LOOKUP(2,1/(Données!C21:BL21&lt;&gt;""),Données!C21:BL21)-INDEX(Données!C21:BL21,MATCH(2,1/(Données!C21:BL21&lt;&gt;""),0)-12+1),"")</f>
        <v/>
      </c>
      <c r="G21" s="26" t="str">
        <f aca="false">IFERROR(LOOKUP(2,1/(Données!C21:BL21&lt;&gt;""),Données!C21:BL21)-INDEX(Données!C21:BL21,MATCH(2,1/(Données!C21:BL21&lt;&gt;""),0)-24+1),"")</f>
        <v/>
      </c>
      <c r="H21" s="27" t="s">
        <v>80</v>
      </c>
    </row>
    <row r="22" customFormat="false" ht="19.5" hidden="false" customHeight="true" outlineLevel="0" collapsed="false">
      <c r="A22" s="8" t="s">
        <v>44</v>
      </c>
      <c r="B22" s="24" t="s">
        <v>27</v>
      </c>
      <c r="C22" s="25" t="n">
        <f aca="false">IFERROR(LOOKUP(2,1/(Données!C22:BL22&lt;&gt;""),Données!C22:BL22),"")</f>
        <v>90</v>
      </c>
      <c r="D22" s="26" t="str">
        <f aca="false">IFERROR(LOOKUP(2,1/(Données!C22:BL22&lt;&gt;""),Données!C22:BL22)-INDEX(Données!C22:BL22,MATCH(2,1/(Données!C22:BL22&lt;&gt;""),0)-1+1),"")</f>
        <v/>
      </c>
      <c r="E22" s="26" t="str">
        <f aca="false">IFERROR(LOOKUP(2,1/(Données!C22:BL22&lt;&gt;""),Données!C22:BL22)-INDEX(Données!C22:BL22,MATCH(2,1/(Données!C22:BL22&lt;&gt;""),0)-6+1),"")</f>
        <v/>
      </c>
      <c r="F22" s="26" t="str">
        <f aca="false">IFERROR(LOOKUP(2,1/(Données!C22:BL22&lt;&gt;""),Données!C22:BL22)-INDEX(Données!C22:BL22,MATCH(2,1/(Données!C22:BL22&lt;&gt;""),0)-12+1),"")</f>
        <v/>
      </c>
      <c r="G22" s="26" t="str">
        <f aca="false">IFERROR(LOOKUP(2,1/(Données!C22:BL22&lt;&gt;""),Données!C22:BL22)-INDEX(Données!C22:BL22,MATCH(2,1/(Données!C22:BL22&lt;&gt;""),0)-24+1),"")</f>
        <v/>
      </c>
      <c r="H22" s="27" t="s">
        <v>77</v>
      </c>
    </row>
    <row r="23" customFormat="false" ht="4.5" hidden="false" customHeight="true" outlineLevel="0" collapsed="false"/>
    <row r="24" customFormat="false" ht="18" hidden="false" customHeight="true" outlineLevel="0" collapsed="false">
      <c r="A24" s="7" t="s">
        <v>45</v>
      </c>
      <c r="B24" s="7"/>
      <c r="C24" s="7"/>
      <c r="D24" s="7"/>
      <c r="E24" s="7"/>
      <c r="F24" s="7"/>
      <c r="G24" s="7"/>
      <c r="H24" s="7"/>
    </row>
    <row r="25" customFormat="false" ht="19.5" hidden="false" customHeight="true" outlineLevel="0" collapsed="false">
      <c r="A25" s="8" t="s">
        <v>46</v>
      </c>
      <c r="B25" s="24" t="s">
        <v>27</v>
      </c>
      <c r="C25" s="25" t="n">
        <f aca="false">IFERROR(LOOKUP(2,1/(Données!C25:BL25&lt;&gt;""),Données!C25:BL25),"")</f>
        <v>2058</v>
      </c>
      <c r="D25" s="26" t="str">
        <f aca="false">IFERROR(LOOKUP(2,1/(Données!C25:BL25&lt;&gt;""),Données!C25:BL25)-INDEX(Données!C25:BL25,MATCH(2,1/(Données!C25:BL25&lt;&gt;""),0)-1+1),"")</f>
        <v/>
      </c>
      <c r="E25" s="26" t="str">
        <f aca="false">IFERROR(LOOKUP(2,1/(Données!C25:BL25&lt;&gt;""),Données!C25:BL25)-INDEX(Données!C25:BL25,MATCH(2,1/(Données!C25:BL25&lt;&gt;""),0)-6+1),"")</f>
        <v/>
      </c>
      <c r="F25" s="26" t="str">
        <f aca="false">IFERROR(LOOKUP(2,1/(Données!C25:BL25&lt;&gt;""),Données!C25:BL25)-INDEX(Données!C25:BL25,MATCH(2,1/(Données!C25:BL25&lt;&gt;""),0)-12+1),"")</f>
        <v/>
      </c>
      <c r="G25" s="26" t="str">
        <f aca="false">IFERROR(LOOKUP(2,1/(Données!C25:BL25&lt;&gt;""),Données!C25:BL25)-INDEX(Données!C25:BL25,MATCH(2,1/(Données!C25:BL25&lt;&gt;""),0)-24+1),"")</f>
        <v/>
      </c>
      <c r="H25" s="27" t="s">
        <v>77</v>
      </c>
    </row>
    <row r="26" customFormat="false" ht="19.5" hidden="false" customHeight="true" outlineLevel="0" collapsed="false">
      <c r="A26" s="8" t="s">
        <v>47</v>
      </c>
      <c r="B26" s="24" t="s">
        <v>27</v>
      </c>
      <c r="C26" s="25" t="n">
        <f aca="false">IFERROR(LOOKUP(2,1/(Données!C26:BL26&lt;&gt;""),Données!C26:BL26),"")</f>
        <v>134.62</v>
      </c>
      <c r="D26" s="26" t="str">
        <f aca="false">IFERROR(LOOKUP(2,1/(Données!C26:BL26&lt;&gt;""),Données!C26:BL26)-INDEX(Données!C26:BL26,MATCH(2,1/(Données!C26:BL26&lt;&gt;""),0)-1+1),"")</f>
        <v/>
      </c>
      <c r="E26" s="26" t="str">
        <f aca="false">IFERROR(LOOKUP(2,1/(Données!C26:BL26&lt;&gt;""),Données!C26:BL26)-INDEX(Données!C26:BL26,MATCH(2,1/(Données!C26:BL26&lt;&gt;""),0)-6+1),"")</f>
        <v/>
      </c>
      <c r="F26" s="26" t="str">
        <f aca="false">IFERROR(LOOKUP(2,1/(Données!C26:BL26&lt;&gt;""),Données!C26:BL26)-INDEX(Données!C26:BL26,MATCH(2,1/(Données!C26:BL26&lt;&gt;""),0)-12+1),"")</f>
        <v/>
      </c>
      <c r="G26" s="26" t="str">
        <f aca="false">IFERROR(LOOKUP(2,1/(Données!C26:BL26&lt;&gt;""),Données!C26:BL26)-INDEX(Données!C26:BL26,MATCH(2,1/(Données!C26:BL26&lt;&gt;""),0)-24+1),"")</f>
        <v/>
      </c>
      <c r="H26" s="27" t="s">
        <v>77</v>
      </c>
    </row>
    <row r="27" customFormat="false" ht="19.5" hidden="false" customHeight="true" outlineLevel="0" collapsed="false">
      <c r="A27" s="8" t="s">
        <v>48</v>
      </c>
      <c r="B27" s="24" t="s">
        <v>27</v>
      </c>
      <c r="C27" s="25" t="n">
        <f aca="false">IFERROR(LOOKUP(2,1/(Données!C27:BL27&lt;&gt;""),Données!C27:BL27),"")</f>
        <v>137.21</v>
      </c>
      <c r="D27" s="26" t="str">
        <f aca="false">IFERROR(LOOKUP(2,1/(Données!C27:BL27&lt;&gt;""),Données!C27:BL27)-INDEX(Données!C27:BL27,MATCH(2,1/(Données!C27:BL27&lt;&gt;""),0)-1+1),"")</f>
        <v/>
      </c>
      <c r="E27" s="26" t="str">
        <f aca="false">IFERROR(LOOKUP(2,1/(Données!C27:BL27&lt;&gt;""),Données!C27:BL27)-INDEX(Données!C27:BL27,MATCH(2,1/(Données!C27:BL27&lt;&gt;""),0)-6+1),"")</f>
        <v/>
      </c>
      <c r="F27" s="26" t="str">
        <f aca="false">IFERROR(LOOKUP(2,1/(Données!C27:BL27&lt;&gt;""),Données!C27:BL27)-INDEX(Données!C27:BL27,MATCH(2,1/(Données!C27:BL27&lt;&gt;""),0)-12+1),"")</f>
        <v/>
      </c>
      <c r="G27" s="26" t="str">
        <f aca="false">IFERROR(LOOKUP(2,1/(Données!C27:BL27&lt;&gt;""),Données!C27:BL27)-INDEX(Données!C27:BL27,MATCH(2,1/(Données!C27:BL27&lt;&gt;""),0)-24+1),"")</f>
        <v/>
      </c>
      <c r="H27" s="27" t="s">
        <v>77</v>
      </c>
    </row>
    <row r="28" customFormat="false" ht="19.5" hidden="false" customHeight="true" outlineLevel="0" collapsed="false">
      <c r="A28" s="8" t="s">
        <v>49</v>
      </c>
      <c r="B28" s="24" t="s">
        <v>27</v>
      </c>
      <c r="C28" s="25" t="n">
        <f aca="false">IFERROR(LOOKUP(2,1/(Données!C28:BL28&lt;&gt;""),Données!C28:BL28),"")</f>
        <v>145.4</v>
      </c>
      <c r="D28" s="26" t="str">
        <f aca="false">IFERROR(LOOKUP(2,1/(Données!C28:BL28&lt;&gt;""),Données!C28:BL28)-INDEX(Données!C28:BL28,MATCH(2,1/(Données!C28:BL28&lt;&gt;""),0)-1+1),"")</f>
        <v/>
      </c>
      <c r="E28" s="26" t="str">
        <f aca="false">IFERROR(LOOKUP(2,1/(Données!C28:BL28&lt;&gt;""),Données!C28:BL28)-INDEX(Données!C28:BL28,MATCH(2,1/(Données!C28:BL28&lt;&gt;""),0)-6+1),"")</f>
        <v/>
      </c>
      <c r="F28" s="26" t="str">
        <f aca="false">IFERROR(LOOKUP(2,1/(Données!C28:BL28&lt;&gt;""),Données!C28:BL28)-INDEX(Données!C28:BL28,MATCH(2,1/(Données!C28:BL28&lt;&gt;""),0)-12+1),"")</f>
        <v/>
      </c>
      <c r="G28" s="26" t="str">
        <f aca="false">IFERROR(LOOKUP(2,1/(Données!C28:BL28&lt;&gt;""),Données!C28:BL28)-INDEX(Données!C28:BL28,MATCH(2,1/(Données!C28:BL28&lt;&gt;""),0)-24+1),"")</f>
        <v/>
      </c>
      <c r="H28" s="27" t="s">
        <v>77</v>
      </c>
    </row>
    <row r="29" customFormat="false" ht="19.5" hidden="false" customHeight="true" outlineLevel="0" collapsed="false">
      <c r="A29" s="8" t="s">
        <v>50</v>
      </c>
      <c r="B29" s="24" t="s">
        <v>31</v>
      </c>
      <c r="C29" s="25" t="n">
        <f aca="false">IFERROR(LOOKUP(2,1/(Données!C29:BL29&lt;&gt;""),Données!C29:BL29),"")</f>
        <v>2.88</v>
      </c>
      <c r="D29" s="26" t="str">
        <f aca="false">IFERROR(LOOKUP(2,1/(Données!C29:BL29&lt;&gt;""),Données!C29:BL29)-INDEX(Données!C29:BL29,MATCH(2,1/(Données!C29:BL29&lt;&gt;""),0)-1+1),"")</f>
        <v/>
      </c>
      <c r="E29" s="26" t="str">
        <f aca="false">IFERROR(LOOKUP(2,1/(Données!C29:BL29&lt;&gt;""),Données!C29:BL29)-INDEX(Données!C29:BL29,MATCH(2,1/(Données!C29:BL29&lt;&gt;""),0)-6+1),"")</f>
        <v/>
      </c>
      <c r="F29" s="26" t="str">
        <f aca="false">IFERROR(LOOKUP(2,1/(Données!C29:BL29&lt;&gt;""),Données!C29:BL29)-INDEX(Données!C29:BL29,MATCH(2,1/(Données!C29:BL29&lt;&gt;""),0)-12+1),"")</f>
        <v/>
      </c>
      <c r="G29" s="26" t="str">
        <f aca="false">IFERROR(LOOKUP(2,1/(Données!C29:BL29&lt;&gt;""),Données!C29:BL29)-INDEX(Données!C29:BL29,MATCH(2,1/(Données!C29:BL29&lt;&gt;""),0)-24+1),"")</f>
        <v/>
      </c>
      <c r="H29" s="27" t="s">
        <v>73</v>
      </c>
    </row>
    <row r="30" customFormat="false" ht="19.5" hidden="false" customHeight="true" outlineLevel="0" collapsed="false">
      <c r="A30" s="8" t="s">
        <v>51</v>
      </c>
      <c r="B30" s="24" t="s">
        <v>52</v>
      </c>
      <c r="C30" s="25" t="n">
        <f aca="false">IFERROR(LOOKUP(2,1/(Données!C30:BL30&lt;&gt;""),Données!C30:BL30),"")</f>
        <v>820</v>
      </c>
      <c r="D30" s="26" t="str">
        <f aca="false">IFERROR(LOOKUP(2,1/(Données!C30:BL30&lt;&gt;""),Données!C30:BL30)-INDEX(Données!C30:BL30,MATCH(2,1/(Données!C30:BL30&lt;&gt;""),0)-1+1),"")</f>
        <v/>
      </c>
      <c r="E30" s="26" t="str">
        <f aca="false">IFERROR(LOOKUP(2,1/(Données!C30:BL30&lt;&gt;""),Données!C30:BL30)-INDEX(Données!C30:BL30,MATCH(2,1/(Données!C30:BL30&lt;&gt;""),0)-6+1),"")</f>
        <v/>
      </c>
      <c r="F30" s="26" t="str">
        <f aca="false">IFERROR(LOOKUP(2,1/(Données!C30:BL30&lt;&gt;""),Données!C30:BL30)-INDEX(Données!C30:BL30,MATCH(2,1/(Données!C30:BL30&lt;&gt;""),0)-12+1),"")</f>
        <v/>
      </c>
      <c r="G30" s="26" t="str">
        <f aca="false">IFERROR(LOOKUP(2,1/(Données!C30:BL30&lt;&gt;""),Données!C30:BL30)-INDEX(Données!C30:BL30,MATCH(2,1/(Données!C30:BL30&lt;&gt;""),0)-24+1),"")</f>
        <v/>
      </c>
      <c r="H30" s="27" t="s">
        <v>81</v>
      </c>
    </row>
    <row r="31" customFormat="false" ht="4.5" hidden="false" customHeight="true" outlineLevel="0" collapsed="false"/>
    <row r="32" customFormat="false" ht="19.5" hidden="false" customHeight="true" outlineLevel="0" collapsed="false">
      <c r="A32" s="7" t="s">
        <v>54</v>
      </c>
      <c r="B32" s="7"/>
      <c r="C32" s="7"/>
      <c r="D32" s="7"/>
      <c r="E32" s="7"/>
      <c r="F32" s="7"/>
      <c r="G32" s="7"/>
      <c r="H32" s="7"/>
    </row>
    <row r="33" customFormat="false" ht="19.5" hidden="false" customHeight="true" outlineLevel="0" collapsed="false">
      <c r="A33" s="16" t="s">
        <v>55</v>
      </c>
      <c r="B33" s="28" t="s">
        <v>56</v>
      </c>
      <c r="C33" s="29" t="n">
        <f aca="false">IFERROR(LOOKUP(2,1/(Données!C36:BL36&lt;&gt;""),Données!C36:BL36),"")</f>
        <v>1801.84</v>
      </c>
      <c r="D33" s="26" t="str">
        <f aca="false">IFERROR(LOOKUP(2,1/(Données!C36:BL36&lt;&gt;""),Données!C36:BL36)-INDEX(Données!C36:BL36,MATCH(2,1/(Données!C36:BL36&lt;&gt;""),0)-1+1),"")</f>
        <v/>
      </c>
      <c r="E33" s="26" t="str">
        <f aca="false">IFERROR(LOOKUP(2,1/(Données!C36:BL36&lt;&gt;""),Données!C36:BL36)-INDEX(Données!C36:BL36,MATCH(2,1/(Données!C36:BL36&lt;&gt;""),0)-6+1),"")</f>
        <v/>
      </c>
      <c r="F33" s="26" t="str">
        <f aca="false">IFERROR(LOOKUP(2,1/(Données!C36:BL36&lt;&gt;""),Données!C36:BL36)-INDEX(Données!C36:BL36,MATCH(2,1/(Données!C36:BL36&lt;&gt;""),0)-12+1),"")</f>
        <v/>
      </c>
      <c r="G33" s="26" t="str">
        <f aca="false">IFERROR(LOOKUP(2,1/(Données!C36:BL36&lt;&gt;""),Données!C36:BL36)-INDEX(Données!C36:BL36,MATCH(2,1/(Données!C36:BL36&lt;&gt;""),0)-24+1),"")</f>
        <v/>
      </c>
      <c r="H33" s="30" t="s">
        <v>82</v>
      </c>
    </row>
    <row r="34" customFormat="false" ht="19.5" hidden="false" customHeight="true" outlineLevel="0" collapsed="false">
      <c r="A34" s="16" t="s">
        <v>83</v>
      </c>
      <c r="B34" s="28" t="s">
        <v>58</v>
      </c>
      <c r="C34" s="29" t="n">
        <f aca="false">IFERROR(LOOKUP(2,1/(Données!C37:BL37&lt;&gt;""),Données!C37:BL37),"")</f>
        <v>0.2645</v>
      </c>
      <c r="D34" s="26" t="str">
        <f aca="false">IFERROR(LOOKUP(2,1/(Données!C37:BL37&lt;&gt;""),Données!C37:BL37)-INDEX(Données!C37:BL37,MATCH(2,1/(Données!C37:BL37&lt;&gt;""),0)-1+1),"")</f>
        <v/>
      </c>
      <c r="E34" s="26" t="str">
        <f aca="false">IFERROR(LOOKUP(2,1/(Données!C37:BL37&lt;&gt;""),Données!C37:BL37)-INDEX(Données!C37:BL37,MATCH(2,1/(Données!C37:BL37&lt;&gt;""),0)-6+1),"")</f>
        <v/>
      </c>
      <c r="F34" s="26" t="str">
        <f aca="false">IFERROR(LOOKUP(2,1/(Données!C37:BL37&lt;&gt;""),Données!C37:BL37)-INDEX(Données!C37:BL37,MATCH(2,1/(Données!C37:BL37&lt;&gt;""),0)-12+1),"")</f>
        <v/>
      </c>
      <c r="G34" s="26" t="str">
        <f aca="false">IFERROR(LOOKUP(2,1/(Données!C37:BL37&lt;&gt;""),Données!C37:BL37)-INDEX(Données!C37:BL37,MATCH(2,1/(Données!C37:BL37&lt;&gt;""),0)-24+1),"")</f>
        <v/>
      </c>
      <c r="H34" s="30" t="s">
        <v>84</v>
      </c>
    </row>
    <row r="35" customFormat="false" ht="19.5" hidden="false" customHeight="true" outlineLevel="0" collapsed="false">
      <c r="A35" s="16" t="s">
        <v>59</v>
      </c>
      <c r="B35" s="28" t="s">
        <v>60</v>
      </c>
      <c r="C35" s="29" t="n">
        <f aca="false">IFERROR(LOOKUP(2,1/(Données!C38:BL38&lt;&gt;""),Données!C38:BL38),"")</f>
        <v>60</v>
      </c>
      <c r="D35" s="26" t="str">
        <f aca="false">IFERROR(LOOKUP(2,1/(Données!C38:BL38&lt;&gt;""),Données!C38:BL38)-INDEX(Données!C38:BL38,MATCH(2,1/(Données!C38:BL38&lt;&gt;""),0)-1+1),"")</f>
        <v/>
      </c>
      <c r="E35" s="26" t="str">
        <f aca="false">IFERROR(LOOKUP(2,1/(Données!C38:BL38&lt;&gt;""),Données!C38:BL38)-INDEX(Données!C38:BL38,MATCH(2,1/(Données!C38:BL38&lt;&gt;""),0)-6+1),"")</f>
        <v/>
      </c>
      <c r="F35" s="26" t="str">
        <f aca="false">IFERROR(LOOKUP(2,1/(Données!C38:BL38&lt;&gt;""),Données!C38:BL38)-INDEX(Données!C38:BL38,MATCH(2,1/(Données!C38:BL38&lt;&gt;""),0)-12+1),"")</f>
        <v/>
      </c>
      <c r="G35" s="26" t="str">
        <f aca="false">IFERROR(LOOKUP(2,1/(Données!C38:BL38&lt;&gt;""),Données!C38:BL38)-INDEX(Données!C38:BL38,MATCH(2,1/(Données!C38:BL38&lt;&gt;""),0)-24+1),"")</f>
        <v/>
      </c>
      <c r="H35" s="30" t="s">
        <v>85</v>
      </c>
    </row>
    <row r="36" customFormat="false" ht="19.5" hidden="false" customHeight="true" outlineLevel="0" collapsed="false">
      <c r="A36" s="16" t="s">
        <v>61</v>
      </c>
      <c r="B36" s="28" t="s">
        <v>31</v>
      </c>
      <c r="C36" s="29" t="n">
        <f aca="false">IFERROR(LOOKUP(2,1/(Données!C39:BL39&lt;&gt;""),Données!C39:BL39),"")</f>
        <v>1.7</v>
      </c>
      <c r="D36" s="26" t="str">
        <f aca="false">IFERROR(LOOKUP(2,1/(Données!C39:BL39&lt;&gt;""),Données!C39:BL39)-INDEX(Données!C39:BL39,MATCH(2,1/(Données!C39:BL39&lt;&gt;""),0)-1+1),"")</f>
        <v/>
      </c>
      <c r="E36" s="26" t="str">
        <f aca="false">IFERROR(LOOKUP(2,1/(Données!C39:BL39&lt;&gt;""),Données!C39:BL39)-INDEX(Données!C39:BL39,MATCH(2,1/(Données!C39:BL39&lt;&gt;""),0)-6+1),"")</f>
        <v/>
      </c>
      <c r="F36" s="26" t="str">
        <f aca="false">IFERROR(LOOKUP(2,1/(Données!C39:BL39&lt;&gt;""),Données!C39:BL39)-INDEX(Données!C39:BL39,MATCH(2,1/(Données!C39:BL39&lt;&gt;""),0)-12+1),"")</f>
        <v/>
      </c>
      <c r="G36" s="26" t="str">
        <f aca="false">IFERROR(LOOKUP(2,1/(Données!C39:BL39&lt;&gt;""),Données!C39:BL39)-INDEX(Données!C39:BL39,MATCH(2,1/(Données!C39:BL39&lt;&gt;""),0)-24+1),"")</f>
        <v/>
      </c>
      <c r="H36" s="30" t="s">
        <v>73</v>
      </c>
    </row>
    <row r="37" customFormat="false" ht="19.5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</row>
    <row r="38" customFormat="false" ht="19.5" hidden="false" customHeight="true" outlineLevel="0" collapsed="false"/>
    <row r="39" customFormat="false" ht="19.5" hidden="false" customHeight="true" outlineLevel="0" collapsed="false"/>
  </sheetData>
  <mergeCells count="7">
    <mergeCell ref="A1:H1"/>
    <mergeCell ref="A2:H2"/>
    <mergeCell ref="A4:H4"/>
    <mergeCell ref="A14:H14"/>
    <mergeCell ref="A24:H24"/>
    <mergeCell ref="A32:H32"/>
    <mergeCell ref="A37:H37"/>
  </mergeCells>
  <hyperlinks>
    <hyperlink ref="H5" r:id="rId1" display="Yahoo Finance"/>
    <hyperlink ref="H6" r:id="rId2" display="Yahoo Finance"/>
    <hyperlink ref="H7" r:id="rId3" display="Yahoo Finance"/>
    <hyperlink ref="H8" r:id="rId4" display="Yahoo Finance"/>
    <hyperlink ref="H9" r:id="rId5" display="CBOE"/>
    <hyperlink ref="H10" r:id="rId6" display="Yahoo Finance"/>
    <hyperlink ref="H11" r:id="rId7" display="Banque de France"/>
    <hyperlink ref="H12" r:id="rId8" display="ICE / Bloomberg"/>
    <hyperlink ref="H15" r:id="rId9" display="Min. Travail"/>
    <hyperlink ref="H16" r:id="rId10" display="BCE"/>
    <hyperlink ref="H17" r:id="rId11" display="INSEE"/>
    <hyperlink ref="H18" r:id="rId12" display="INSEE"/>
    <hyperlink ref="H19" r:id="rId13" display="IDF Mobilités"/>
    <hyperlink ref="H20" r:id="rId14" display="Fédération Boulangers"/>
    <hyperlink ref="H21" r:id="rId15" display="INSEE / Eurostat"/>
    <hyperlink ref="H22" r:id="rId16" display="INSEE"/>
    <hyperlink ref="H25" r:id="rId17" display="INSEE"/>
    <hyperlink ref="H26" r:id="rId18" display="INSEE"/>
    <hyperlink ref="H27" r:id="rId19" display="INSEE"/>
    <hyperlink ref="H28" r:id="rId20" display="INSEE"/>
    <hyperlink ref="H29" r:id="rId21" display="Banque de France"/>
    <hyperlink ref="H30" r:id="rId22" display="Notaires de France"/>
    <hyperlink ref="H33" r:id="rId23" display="Calculé"/>
    <hyperlink ref="H34" r:id="rId24" display="CRE / EDF"/>
    <hyperlink ref="H35" r:id="rId25" display="CRE"/>
    <hyperlink ref="H36" r:id="rId26" display="Banque de Fran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1"/>
  </cols>
  <sheetData>
    <row r="1" customFormat="false" ht="33.7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23" t="s">
        <v>87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customFormat="false" ht="19.5" hidden="false" customHeight="true" outlineLevel="0" collapsed="false">
      <c r="A3" s="31" t="s">
        <v>88</v>
      </c>
      <c r="B3" s="31"/>
      <c r="C3" s="32" t="s">
        <v>89</v>
      </c>
      <c r="D3" s="32" t="s">
        <v>90</v>
      </c>
      <c r="E3" s="32" t="s">
        <v>91</v>
      </c>
      <c r="F3" s="32" t="s">
        <v>92</v>
      </c>
      <c r="G3" s="32" t="s">
        <v>93</v>
      </c>
    </row>
  </sheetData>
  <mergeCells count="3">
    <mergeCell ref="A1:N1"/>
    <mergeCell ref="A2:N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48"/>
    <col collapsed="false" customWidth="true" hidden="false" outlineLevel="0" max="5" min="5" style="1" width="10"/>
  </cols>
  <sheetData>
    <row r="1" customFormat="false" ht="31.5" hidden="false" customHeight="true" outlineLevel="0" collapsed="false">
      <c r="A1" s="33" t="s">
        <v>94</v>
      </c>
      <c r="B1" s="33"/>
      <c r="C1" s="33"/>
      <c r="D1" s="33"/>
      <c r="E1" s="33"/>
    </row>
    <row r="2" customFormat="false" ht="21.75" hidden="false" customHeight="true" outlineLevel="0" collapsed="false">
      <c r="A2" s="3" t="s">
        <v>1</v>
      </c>
      <c r="B2" s="3" t="s">
        <v>95</v>
      </c>
      <c r="C2" s="3" t="s">
        <v>96</v>
      </c>
      <c r="D2" s="3" t="s">
        <v>97</v>
      </c>
      <c r="E2" s="3" t="s">
        <v>98</v>
      </c>
    </row>
    <row r="3" customFormat="false" ht="19.5" hidden="false" customHeight="true" outlineLevel="0" collapsed="false">
      <c r="A3" s="7" t="s">
        <v>20</v>
      </c>
      <c r="B3" s="7"/>
      <c r="C3" s="7"/>
      <c r="D3" s="7"/>
      <c r="E3" s="7"/>
    </row>
    <row r="4" customFormat="false" ht="19.5" hidden="false" customHeight="true" outlineLevel="0" collapsed="false">
      <c r="A4" s="8" t="s">
        <v>21</v>
      </c>
      <c r="B4" s="34" t="s">
        <v>99</v>
      </c>
      <c r="C4" s="34" t="s">
        <v>100</v>
      </c>
      <c r="D4" s="35" t="s">
        <v>101</v>
      </c>
      <c r="E4" s="36" t="s">
        <v>98</v>
      </c>
    </row>
    <row r="5" customFormat="false" ht="19.5" hidden="false" customHeight="true" outlineLevel="0" collapsed="false">
      <c r="A5" s="8" t="s">
        <v>23</v>
      </c>
      <c r="B5" s="34" t="s">
        <v>71</v>
      </c>
      <c r="C5" s="34" t="s">
        <v>100</v>
      </c>
      <c r="D5" s="35" t="s">
        <v>102</v>
      </c>
      <c r="E5" s="36" t="s">
        <v>98</v>
      </c>
    </row>
    <row r="6" customFormat="false" ht="19.5" hidden="false" customHeight="true" outlineLevel="0" collapsed="false">
      <c r="A6" s="8" t="s">
        <v>24</v>
      </c>
      <c r="B6" s="34" t="s">
        <v>71</v>
      </c>
      <c r="C6" s="34" t="s">
        <v>100</v>
      </c>
      <c r="D6" s="35" t="s">
        <v>102</v>
      </c>
      <c r="E6" s="36" t="s">
        <v>98</v>
      </c>
    </row>
    <row r="7" customFormat="false" ht="19.5" hidden="false" customHeight="true" outlineLevel="0" collapsed="false">
      <c r="A7" s="8" t="s">
        <v>25</v>
      </c>
      <c r="B7" s="34" t="s">
        <v>71</v>
      </c>
      <c r="C7" s="34" t="s">
        <v>100</v>
      </c>
      <c r="D7" s="35" t="s">
        <v>102</v>
      </c>
      <c r="E7" s="36" t="s">
        <v>98</v>
      </c>
    </row>
    <row r="8" customFormat="false" ht="19.5" hidden="false" customHeight="true" outlineLevel="0" collapsed="false">
      <c r="A8" s="8" t="s">
        <v>103</v>
      </c>
      <c r="B8" s="34" t="s">
        <v>104</v>
      </c>
      <c r="C8" s="34" t="s">
        <v>100</v>
      </c>
      <c r="D8" s="35" t="s">
        <v>105</v>
      </c>
      <c r="E8" s="36" t="s">
        <v>98</v>
      </c>
    </row>
    <row r="9" customFormat="false" ht="19.5" hidden="false" customHeight="true" outlineLevel="0" collapsed="false">
      <c r="A9" s="8" t="s">
        <v>28</v>
      </c>
      <c r="B9" s="34" t="s">
        <v>71</v>
      </c>
      <c r="C9" s="34" t="s">
        <v>100</v>
      </c>
      <c r="D9" s="35" t="s">
        <v>106</v>
      </c>
      <c r="E9" s="36" t="s">
        <v>98</v>
      </c>
    </row>
    <row r="10" customFormat="false" ht="19.5" hidden="false" customHeight="true" outlineLevel="0" collapsed="false">
      <c r="A10" s="8" t="s">
        <v>30</v>
      </c>
      <c r="B10" s="34" t="s">
        <v>107</v>
      </c>
      <c r="C10" s="34" t="s">
        <v>100</v>
      </c>
      <c r="D10" s="35" t="s">
        <v>108</v>
      </c>
      <c r="E10" s="36" t="s">
        <v>98</v>
      </c>
    </row>
    <row r="11" customFormat="false" ht="19.5" hidden="false" customHeight="true" outlineLevel="0" collapsed="false">
      <c r="A11" s="8" t="s">
        <v>109</v>
      </c>
      <c r="B11" s="34" t="s">
        <v>110</v>
      </c>
      <c r="C11" s="34" t="s">
        <v>100</v>
      </c>
      <c r="D11" s="35" t="s">
        <v>111</v>
      </c>
      <c r="E11" s="36" t="s">
        <v>98</v>
      </c>
    </row>
    <row r="12" customFormat="false" ht="19.5" hidden="false" customHeight="true" outlineLevel="0" collapsed="false">
      <c r="A12" s="7" t="s">
        <v>112</v>
      </c>
      <c r="B12" s="7"/>
      <c r="C12" s="7"/>
      <c r="D12" s="7"/>
      <c r="E12" s="7"/>
    </row>
    <row r="13" customFormat="false" ht="19.5" hidden="false" customHeight="true" outlineLevel="0" collapsed="false">
      <c r="A13" s="8" t="s">
        <v>35</v>
      </c>
      <c r="B13" s="34" t="s">
        <v>113</v>
      </c>
      <c r="C13" s="34" t="s">
        <v>114</v>
      </c>
      <c r="D13" s="35" t="s">
        <v>115</v>
      </c>
      <c r="E13" s="36" t="s">
        <v>98</v>
      </c>
    </row>
    <row r="14" customFormat="false" ht="19.5" hidden="false" customHeight="true" outlineLevel="0" collapsed="false">
      <c r="A14" s="8" t="s">
        <v>37</v>
      </c>
      <c r="B14" s="34" t="s">
        <v>116</v>
      </c>
      <c r="C14" s="34" t="s">
        <v>117</v>
      </c>
      <c r="D14" s="35" t="s">
        <v>118</v>
      </c>
      <c r="E14" s="36" t="s">
        <v>98</v>
      </c>
    </row>
    <row r="15" customFormat="false" ht="19.5" hidden="false" customHeight="true" outlineLevel="0" collapsed="false">
      <c r="A15" s="8" t="s">
        <v>119</v>
      </c>
      <c r="B15" s="34" t="s">
        <v>120</v>
      </c>
      <c r="C15" s="34" t="s">
        <v>121</v>
      </c>
      <c r="D15" s="35" t="s">
        <v>122</v>
      </c>
      <c r="E15" s="36" t="s">
        <v>98</v>
      </c>
    </row>
    <row r="16" customFormat="false" ht="19.5" hidden="false" customHeight="true" outlineLevel="0" collapsed="false">
      <c r="A16" s="8" t="s">
        <v>123</v>
      </c>
      <c r="B16" s="34" t="s">
        <v>124</v>
      </c>
      <c r="C16" s="34" t="s">
        <v>125</v>
      </c>
      <c r="D16" s="35" t="s">
        <v>126</v>
      </c>
      <c r="E16" s="36" t="s">
        <v>98</v>
      </c>
    </row>
    <row r="17" customFormat="false" ht="19.5" hidden="false" customHeight="true" outlineLevel="0" collapsed="false">
      <c r="A17" s="8" t="s">
        <v>127</v>
      </c>
      <c r="B17" s="34" t="s">
        <v>78</v>
      </c>
      <c r="C17" s="34" t="s">
        <v>128</v>
      </c>
      <c r="D17" s="35" t="s">
        <v>129</v>
      </c>
      <c r="E17" s="36" t="s">
        <v>98</v>
      </c>
    </row>
    <row r="18" customFormat="false" ht="19.5" hidden="false" customHeight="true" outlineLevel="0" collapsed="false">
      <c r="A18" s="8" t="s">
        <v>130</v>
      </c>
      <c r="B18" s="34" t="s">
        <v>131</v>
      </c>
      <c r="C18" s="34" t="s">
        <v>132</v>
      </c>
      <c r="D18" s="35" t="s">
        <v>133</v>
      </c>
      <c r="E18" s="36" t="s">
        <v>98</v>
      </c>
    </row>
    <row r="19" customFormat="false" ht="19.5" hidden="false" customHeight="true" outlineLevel="0" collapsed="false">
      <c r="A19" s="8" t="s">
        <v>134</v>
      </c>
      <c r="B19" s="34" t="s">
        <v>80</v>
      </c>
      <c r="C19" s="34" t="s">
        <v>135</v>
      </c>
      <c r="D19" s="35" t="s">
        <v>136</v>
      </c>
      <c r="E19" s="36" t="s">
        <v>98</v>
      </c>
    </row>
    <row r="20" customFormat="false" ht="19.5" hidden="false" customHeight="true" outlineLevel="0" collapsed="false">
      <c r="A20" s="8" t="s">
        <v>137</v>
      </c>
      <c r="B20" s="34" t="s">
        <v>138</v>
      </c>
      <c r="C20" s="34" t="s">
        <v>139</v>
      </c>
      <c r="D20" s="35" t="s">
        <v>140</v>
      </c>
      <c r="E20" s="36" t="s">
        <v>98</v>
      </c>
    </row>
    <row r="21" customFormat="false" ht="19.5" hidden="false" customHeight="true" outlineLevel="0" collapsed="false">
      <c r="A21" s="7" t="s">
        <v>45</v>
      </c>
      <c r="B21" s="7"/>
      <c r="C21" s="7"/>
      <c r="D21" s="7"/>
      <c r="E21" s="7"/>
    </row>
    <row r="22" customFormat="false" ht="19.5" hidden="false" customHeight="true" outlineLevel="0" collapsed="false">
      <c r="A22" s="8" t="s">
        <v>141</v>
      </c>
      <c r="B22" s="34" t="s">
        <v>142</v>
      </c>
      <c r="C22" s="34" t="s">
        <v>143</v>
      </c>
      <c r="D22" s="35" t="s">
        <v>144</v>
      </c>
      <c r="E22" s="36" t="s">
        <v>98</v>
      </c>
    </row>
    <row r="23" customFormat="false" ht="19.5" hidden="false" customHeight="true" outlineLevel="0" collapsed="false">
      <c r="A23" s="8" t="s">
        <v>145</v>
      </c>
      <c r="B23" s="34" t="s">
        <v>146</v>
      </c>
      <c r="C23" s="34" t="s">
        <v>143</v>
      </c>
      <c r="D23" s="35" t="s">
        <v>147</v>
      </c>
      <c r="E23" s="36" t="s">
        <v>98</v>
      </c>
    </row>
    <row r="24" customFormat="false" ht="19.5" hidden="false" customHeight="true" outlineLevel="0" collapsed="false">
      <c r="A24" s="8" t="s">
        <v>148</v>
      </c>
      <c r="B24" s="34" t="s">
        <v>149</v>
      </c>
      <c r="C24" s="34" t="s">
        <v>143</v>
      </c>
      <c r="D24" s="35" t="s">
        <v>150</v>
      </c>
      <c r="E24" s="36" t="s">
        <v>98</v>
      </c>
    </row>
    <row r="25" customFormat="false" ht="19.5" hidden="false" customHeight="true" outlineLevel="0" collapsed="false">
      <c r="A25" s="8" t="s">
        <v>151</v>
      </c>
      <c r="B25" s="34" t="s">
        <v>152</v>
      </c>
      <c r="C25" s="34" t="s">
        <v>143</v>
      </c>
      <c r="D25" s="35" t="s">
        <v>153</v>
      </c>
      <c r="E25" s="36" t="s">
        <v>98</v>
      </c>
    </row>
    <row r="26" customFormat="false" ht="19.5" hidden="false" customHeight="true" outlineLevel="0" collapsed="false">
      <c r="A26" s="8" t="s">
        <v>154</v>
      </c>
      <c r="B26" s="34" t="s">
        <v>155</v>
      </c>
      <c r="C26" s="34" t="s">
        <v>156</v>
      </c>
      <c r="D26" s="35" t="s">
        <v>157</v>
      </c>
      <c r="E26" s="36" t="s">
        <v>98</v>
      </c>
    </row>
    <row r="27" customFormat="false" ht="19.5" hidden="false" customHeight="true" outlineLevel="0" collapsed="false">
      <c r="A27" s="8" t="s">
        <v>158</v>
      </c>
      <c r="B27" s="34" t="s">
        <v>81</v>
      </c>
      <c r="C27" s="34" t="s">
        <v>125</v>
      </c>
      <c r="D27" s="35" t="s">
        <v>159</v>
      </c>
      <c r="E27" s="36" t="s">
        <v>98</v>
      </c>
    </row>
  </sheetData>
  <mergeCells count="4">
    <mergeCell ref="A1:E1"/>
    <mergeCell ref="A3:E3"/>
    <mergeCell ref="A12:E12"/>
    <mergeCell ref="A21:E21"/>
  </mergeCells>
  <hyperlinks>
    <hyperlink ref="E4" r:id="rId1" display="Lien"/>
    <hyperlink ref="E5" r:id="rId2" display="Lien"/>
    <hyperlink ref="E6" r:id="rId3" display="Lien"/>
    <hyperlink ref="E7" r:id="rId4" display="Lien"/>
    <hyperlink ref="E8" r:id="rId5" display="Lien"/>
    <hyperlink ref="E9" r:id="rId6" display="Lien"/>
    <hyperlink ref="E10" r:id="rId7" display="Lien"/>
    <hyperlink ref="E11" r:id="rId8" display="Lien"/>
    <hyperlink ref="E13" r:id="rId9" display="Lien"/>
    <hyperlink ref="E14" r:id="rId10" display="Lien"/>
    <hyperlink ref="E15" r:id="rId11" display="Lien"/>
    <hyperlink ref="E16" r:id="rId12" display="Lien"/>
    <hyperlink ref="E17" r:id="rId13" display="Lien"/>
    <hyperlink ref="E18" r:id="rId14" display="Lien"/>
    <hyperlink ref="E19" r:id="rId15" display="Lien"/>
    <hyperlink ref="E20" r:id="rId16" display="Lien"/>
    <hyperlink ref="E22" r:id="rId17" display="Lien"/>
    <hyperlink ref="E23" r:id="rId18" display="Lien"/>
    <hyperlink ref="E24" r:id="rId19" display="Lien"/>
    <hyperlink ref="E25" r:id="rId20" display="Lien"/>
    <hyperlink ref="E26" r:id="rId21" display="Lien"/>
    <hyperlink ref="E27" r:id="rId22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2026-05-22T06:09:56Z</dcterms:created>
  <dc:creator>openpyxl</dc:creator>
  <dc:description/>
  <dc:language>en-US</dc:language>
  <cp:lastModifiedBy/>
  <dcterms:modified xsi:type="dcterms:W3CDTF">2026-05-22T20:28:51Z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